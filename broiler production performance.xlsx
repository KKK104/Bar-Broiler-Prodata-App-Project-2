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elio P. Carandang\Desktop\broiler app variables\"/>
    </mc:Choice>
  </mc:AlternateContent>
  <xr:revisionPtr revIDLastSave="0" documentId="13_ncr:1_{DD461B2D-A2BA-408D-B34E-BADACDE026FF}" xr6:coauthVersionLast="47" xr6:coauthVersionMax="47" xr10:uidLastSave="{00000000-0000-0000-0000-000000000000}"/>
  <bookViews>
    <workbookView xWindow="-108" yWindow="-108" windowWidth="23256" windowHeight="12456" activeTab="1" xr2:uid="{CBD0F92E-3D1F-4523-A1BB-B77C53D1A5D1}"/>
  </bookViews>
  <sheets>
    <sheet name="ALL" sheetId="6" r:id="rId1"/>
    <sheet name="MORTALITY" sheetId="2" r:id="rId2"/>
    <sheet name="ADG" sheetId="7" r:id="rId3"/>
    <sheet name="DAILY WEIGHT" sheetId="3" r:id="rId4"/>
    <sheet name="FEED CONSUMPTION" sheetId="4" r:id="rId5"/>
    <sheet name="FCR" sheetId="5" r:id="rId6"/>
    <sheet name="Sheet1" sheetId="1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7" i="7" l="1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I23" i="6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7" i="6"/>
  <c r="I8" i="6" s="1"/>
  <c r="I9" i="6" s="1"/>
  <c r="I10" i="6" s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6" i="6"/>
  <c r="I5" i="6"/>
  <c r="I4" i="6"/>
  <c r="I3" i="6"/>
  <c r="P39" i="1" l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H3" i="2" s="1"/>
  <c r="D9" i="3"/>
  <c r="D8" i="3"/>
  <c r="D7" i="3"/>
  <c r="D6" i="3"/>
  <c r="D5" i="3"/>
  <c r="D4" i="3"/>
  <c r="D3" i="3"/>
  <c r="D2" i="3"/>
  <c r="H2" i="3" s="1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H4" i="2" l="1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C37" i="2"/>
  <c r="C3" i="2"/>
  <c r="C4" i="2" l="1"/>
  <c r="C38" i="2"/>
  <c r="F38" i="2" s="1"/>
  <c r="C5" i="2" l="1"/>
  <c r="C6" i="2" l="1"/>
  <c r="C7" i="2" l="1"/>
  <c r="C8" i="2" l="1"/>
  <c r="C9" i="2" l="1"/>
  <c r="C10" i="2" l="1"/>
  <c r="C11" i="2" l="1"/>
  <c r="C12" i="2" l="1"/>
  <c r="C13" i="2" l="1"/>
  <c r="C14" i="2" l="1"/>
  <c r="C15" i="2" l="1"/>
  <c r="C16" i="2" l="1"/>
  <c r="C17" i="2" l="1"/>
  <c r="C18" i="2" l="1"/>
  <c r="C19" i="2" l="1"/>
  <c r="C20" i="2" l="1"/>
  <c r="C21" i="2" l="1"/>
  <c r="C22" i="2" l="1"/>
</calcChain>
</file>

<file path=xl/sharedStrings.xml><?xml version="1.0" encoding="utf-8"?>
<sst xmlns="http://schemas.openxmlformats.org/spreadsheetml/2006/main" count="68" uniqueCount="54">
  <si>
    <t>Date</t>
  </si>
  <si>
    <t>Age</t>
  </si>
  <si>
    <t>Mortality</t>
  </si>
  <si>
    <t>Temperature</t>
  </si>
  <si>
    <t>Weight</t>
  </si>
  <si>
    <t>Feed intake</t>
  </si>
  <si>
    <t>Water intake</t>
  </si>
  <si>
    <t>Per day Mortality</t>
  </si>
  <si>
    <t>Cum. Mortality</t>
  </si>
  <si>
    <t xml:space="preserve">Percent </t>
  </si>
  <si>
    <t>RH</t>
  </si>
  <si>
    <t xml:space="preserve">Ideal </t>
  </si>
  <si>
    <t>Minimum</t>
  </si>
  <si>
    <t>Maximum</t>
  </si>
  <si>
    <t>Standard</t>
  </si>
  <si>
    <t>Actual</t>
  </si>
  <si>
    <t>FCR</t>
  </si>
  <si>
    <t>Standard value/day</t>
  </si>
  <si>
    <t>Actual/day</t>
  </si>
  <si>
    <t>Normal cumulative</t>
  </si>
  <si>
    <t>Actual cumulative</t>
  </si>
  <si>
    <t>Liter/day</t>
  </si>
  <si>
    <t>indication</t>
  </si>
  <si>
    <t>Actual/</t>
  </si>
  <si>
    <t>broiler</t>
  </si>
  <si>
    <t>Comments</t>
  </si>
  <si>
    <t>Monitor Salmonella/</t>
  </si>
  <si>
    <t>Mycoplsma</t>
  </si>
  <si>
    <t>Monitor Salmonella</t>
  </si>
  <si>
    <t>STANDARD</t>
  </si>
  <si>
    <t>ACTUAL</t>
  </si>
  <si>
    <t>AGE</t>
  </si>
  <si>
    <t>DATE</t>
  </si>
  <si>
    <t>ACTUAL (%)</t>
  </si>
  <si>
    <t>STANDARD (%)</t>
  </si>
  <si>
    <t>ACTUAL CUM</t>
  </si>
  <si>
    <t>Population</t>
  </si>
  <si>
    <t>CUMBAGS/1K (HDF)</t>
  </si>
  <si>
    <t>BAGS/1K (HDF)</t>
  </si>
  <si>
    <t>Standard (%)</t>
  </si>
  <si>
    <t>Actual (%)</t>
  </si>
  <si>
    <t>Standard ALW (LowDensityFeeds)</t>
  </si>
  <si>
    <t>AveDaily Feed Consumption/DAY (LowDensityFeeds)</t>
  </si>
  <si>
    <t>Cumulative Daily Feed Consumption (LowDensityFeeds)</t>
  </si>
  <si>
    <t>Cumulative FCR (LowDensityFeeds)</t>
  </si>
  <si>
    <t>StandardALW (HighDensityFeeds)</t>
  </si>
  <si>
    <t>Feed Cconsumption/DAY (HighDensityFeeds)</t>
  </si>
  <si>
    <t>Cumulative Feed Consumption (HighDensityFeeds)</t>
  </si>
  <si>
    <t>Cumulative FCR (HDF)</t>
  </si>
  <si>
    <t>Cumulative Moratality rate</t>
  </si>
  <si>
    <t>BAGS per thousand (LowDensityFeeds)</t>
  </si>
  <si>
    <t>Cumulative BAGS per thousand (LowDensityFeeds)</t>
  </si>
  <si>
    <t>ALW</t>
  </si>
  <si>
    <t>ADG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</si>
</sst>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0.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1F497D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 Light"/>
      <family val="2"/>
      <scheme val="major"/>
    </font>
    <font>
      <b/>
      <sz val="12"/>
      <name val="Calibri Light"/>
      <family val="2"/>
      <scheme val="major"/>
    </font>
    <font>
      <sz val="11"/>
      <color theme="1"/>
      <name val="Calibri"/>
      <family val="2"/>
      <scheme val="minor"/>
    </font>
    <font>
      <b/>
      <sz val="11"/>
      <name val="Calibri Light"/>
      <family val="2"/>
      <scheme val="major"/>
    </font>
    <font>
      <b/>
      <sz val="11"/>
      <name val="Calibri"/>
      <family val="2"/>
      <scheme val="minor"/>
    </font>
    <font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 Light"/>
      <family val="2"/>
      <scheme val="major"/>
    </font>
    <font>
      <sz val="12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rgb="FF4BACC6"/>
      </left>
      <right style="medium">
        <color rgb="FF4BACC6"/>
      </right>
      <top style="medium">
        <color rgb="FF4BACC6"/>
      </top>
      <bottom/>
      <diagonal/>
    </border>
    <border>
      <left style="medium">
        <color rgb="FF4BACC6"/>
      </left>
      <right style="medium">
        <color rgb="FF4BACC6"/>
      </right>
      <top/>
      <bottom/>
      <diagonal/>
    </border>
    <border>
      <left style="medium">
        <color rgb="FF4BACC6"/>
      </left>
      <right style="medium">
        <color rgb="FF4BACC6"/>
      </right>
      <top/>
      <bottom style="medium">
        <color rgb="FF4BACC6"/>
      </bottom>
      <diagonal/>
    </border>
    <border>
      <left/>
      <right style="medium">
        <color rgb="FF4BACC6"/>
      </right>
      <top style="medium">
        <color rgb="FF4BACC6"/>
      </top>
      <bottom style="medium">
        <color rgb="FF4BACC6"/>
      </bottom>
      <diagonal/>
    </border>
    <border>
      <left/>
      <right style="medium">
        <color rgb="FF4BACC6"/>
      </right>
      <top/>
      <bottom/>
      <diagonal/>
    </border>
    <border>
      <left/>
      <right style="medium">
        <color rgb="FF4BACC6"/>
      </right>
      <top/>
      <bottom style="medium">
        <color rgb="FF4BACC6"/>
      </bottom>
      <diagonal/>
    </border>
    <border>
      <left/>
      <right/>
      <top style="medium">
        <color rgb="FF4BACC6"/>
      </top>
      <bottom style="medium">
        <color rgb="FF4BACC6"/>
      </bottom>
      <diagonal/>
    </border>
    <border>
      <left style="medium">
        <color rgb="FF4BACC6"/>
      </left>
      <right/>
      <top style="medium">
        <color rgb="FF4BACC6"/>
      </top>
      <bottom style="medium">
        <color rgb="FF4BAC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60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0" fillId="2" borderId="0" xfId="0" applyFill="1"/>
    <xf numFmtId="0" fontId="2" fillId="2" borderId="5" xfId="0" applyFont="1" applyFill="1" applyBorder="1" applyAlignment="1">
      <alignment horizontal="center" vertical="center" textRotation="90" wrapText="1"/>
    </xf>
    <xf numFmtId="0" fontId="2" fillId="2" borderId="6" xfId="0" applyFont="1" applyFill="1" applyBorder="1" applyAlignment="1">
      <alignment horizontal="center" vertical="center" textRotation="90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3" fillId="0" borderId="9" xfId="0" applyFont="1" applyBorder="1"/>
    <xf numFmtId="0" fontId="4" fillId="0" borderId="9" xfId="0" applyFont="1" applyBorder="1"/>
    <xf numFmtId="0" fontId="3" fillId="2" borderId="9" xfId="0" applyFont="1" applyFill="1" applyBorder="1" applyAlignment="1">
      <alignment horizontal="center" vertical="center" wrapText="1"/>
    </xf>
    <xf numFmtId="0" fontId="5" fillId="0" borderId="9" xfId="0" applyFont="1" applyBorder="1"/>
    <xf numFmtId="0" fontId="5" fillId="2" borderId="9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0" fillId="0" borderId="9" xfId="0" applyBorder="1"/>
    <xf numFmtId="0" fontId="1" fillId="0" borderId="9" xfId="0" applyFont="1" applyBorder="1" applyAlignment="1">
      <alignment horizontal="center"/>
    </xf>
    <xf numFmtId="0" fontId="1" fillId="0" borderId="9" xfId="0" applyFont="1" applyBorder="1"/>
    <xf numFmtId="0" fontId="1" fillId="0" borderId="0" xfId="0" applyFont="1" applyAlignment="1">
      <alignment horizontal="center"/>
    </xf>
    <xf numFmtId="0" fontId="3" fillId="0" borderId="0" xfId="0" applyFont="1"/>
    <xf numFmtId="0" fontId="1" fillId="3" borderId="9" xfId="0" applyFont="1" applyFill="1" applyBorder="1" applyAlignment="1">
      <alignment horizontal="center"/>
    </xf>
    <xf numFmtId="0" fontId="1" fillId="3" borderId="9" xfId="0" applyFont="1" applyFill="1" applyBorder="1"/>
    <xf numFmtId="165" fontId="5" fillId="3" borderId="9" xfId="0" applyNumberFormat="1" applyFont="1" applyFill="1" applyBorder="1" applyAlignment="1">
      <alignment horizontal="right"/>
    </xf>
    <xf numFmtId="0" fontId="1" fillId="4" borderId="9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right" vertical="center" wrapText="1"/>
    </xf>
    <xf numFmtId="0" fontId="3" fillId="3" borderId="9" xfId="0" applyFont="1" applyFill="1" applyBorder="1"/>
    <xf numFmtId="164" fontId="3" fillId="3" borderId="9" xfId="0" applyNumberFormat="1" applyFont="1" applyFill="1" applyBorder="1"/>
    <xf numFmtId="0" fontId="3" fillId="4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  <xf numFmtId="0" fontId="9" fillId="4" borderId="9" xfId="0" applyFont="1" applyFill="1" applyBorder="1"/>
    <xf numFmtId="0" fontId="9" fillId="3" borderId="9" xfId="0" applyFont="1" applyFill="1" applyBorder="1"/>
    <xf numFmtId="0" fontId="5" fillId="2" borderId="9" xfId="0" applyFont="1" applyFill="1" applyBorder="1" applyAlignment="1">
      <alignment horizontal="right" vertical="center" wrapText="1"/>
    </xf>
    <xf numFmtId="0" fontId="3" fillId="2" borderId="11" xfId="0" applyFont="1" applyFill="1" applyBorder="1" applyAlignment="1">
      <alignment horizontal="center" vertical="center" wrapText="1"/>
    </xf>
    <xf numFmtId="16" fontId="0" fillId="0" borderId="9" xfId="0" applyNumberFormat="1" applyBorder="1"/>
    <xf numFmtId="0" fontId="3" fillId="0" borderId="10" xfId="0" applyFont="1" applyBorder="1"/>
    <xf numFmtId="2" fontId="0" fillId="0" borderId="0" xfId="0" applyNumberFormat="1"/>
    <xf numFmtId="2" fontId="2" fillId="2" borderId="6" xfId="0" applyNumberFormat="1" applyFont="1" applyFill="1" applyBorder="1" applyAlignment="1">
      <alignment horizontal="center" vertical="center" wrapText="1"/>
    </xf>
    <xf numFmtId="0" fontId="9" fillId="0" borderId="9" xfId="0" applyFont="1" applyBorder="1"/>
    <xf numFmtId="0" fontId="12" fillId="2" borderId="9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164" fontId="0" fillId="0" borderId="9" xfId="1" applyFont="1" applyBorder="1"/>
    <xf numFmtId="166" fontId="11" fillId="0" borderId="9" xfId="0" applyNumberFormat="1" applyFont="1" applyBorder="1"/>
    <xf numFmtId="0" fontId="0" fillId="0" borderId="9" xfId="0" applyBorder="1" applyAlignment="1">
      <alignment horizontal="right"/>
    </xf>
    <xf numFmtId="43" fontId="3" fillId="4" borderId="9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2" xfId="0" applyFont="1" applyFill="1" applyBorder="1" applyAlignment="1">
      <alignment horizontal="center" vertical="center" textRotation="90" wrapText="1"/>
    </xf>
    <xf numFmtId="0" fontId="2" fillId="2" borderId="3" xfId="0" applyFont="1" applyFill="1" applyBorder="1" applyAlignment="1">
      <alignment horizontal="center" vertical="center" textRotation="90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6" fontId="0" fillId="0" borderId="9" xfId="0" applyNumberFormat="1" applyBorder="1"/>
    <xf numFmtId="2" fontId="13" fillId="0" borderId="9" xfId="0" applyNumberFormat="1" applyFont="1" applyFill="1" applyBorder="1"/>
    <xf numFmtId="2" fontId="3" fillId="2" borderId="9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wrapText="1"/>
    </xf>
    <xf numFmtId="0" fontId="0" fillId="0" borderId="0" xfId="0" applyBorder="1" applyAlignment="1">
      <alignment horizontal="right" wrapText="1"/>
    </xf>
    <xf numFmtId="0" fontId="0" fillId="0" borderId="0" xfId="0" applyBorder="1" applyAlignment="1">
      <alignment wrapText="1"/>
    </xf>
    <xf numFmtId="0" fontId="0" fillId="0" borderId="0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MORTALITY!$E$2</c:f>
              <c:strCache>
                <c:ptCount val="1"/>
                <c:pt idx="0">
                  <c:v>Standard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MORTALITY!$E$3:$E$37</c:f>
              <c:numCache>
                <c:formatCode>0.000</c:formatCode>
                <c:ptCount val="35"/>
                <c:pt idx="0">
                  <c:v>0.14285714285714285</c:v>
                </c:pt>
                <c:pt idx="1">
                  <c:v>0.2857142857142857</c:v>
                </c:pt>
                <c:pt idx="2">
                  <c:v>0.42857142857142855</c:v>
                </c:pt>
                <c:pt idx="3">
                  <c:v>0.5714285714285714</c:v>
                </c:pt>
                <c:pt idx="4">
                  <c:v>0.71428571428571419</c:v>
                </c:pt>
                <c:pt idx="5">
                  <c:v>0.85714285714285698</c:v>
                </c:pt>
                <c:pt idx="6">
                  <c:v>0.99999999999999978</c:v>
                </c:pt>
                <c:pt idx="7">
                  <c:v>1.1428571428571426</c:v>
                </c:pt>
                <c:pt idx="8">
                  <c:v>1.2857142857142854</c:v>
                </c:pt>
                <c:pt idx="9">
                  <c:v>1.4285714285714282</c:v>
                </c:pt>
                <c:pt idx="10">
                  <c:v>1.571428571428571</c:v>
                </c:pt>
                <c:pt idx="11">
                  <c:v>1.7142857142857137</c:v>
                </c:pt>
                <c:pt idx="12">
                  <c:v>1.8571428571428565</c:v>
                </c:pt>
                <c:pt idx="13">
                  <c:v>1.9999999999999993</c:v>
                </c:pt>
                <c:pt idx="14">
                  <c:v>2.1428571428571423</c:v>
                </c:pt>
                <c:pt idx="15">
                  <c:v>2.2857142857142851</c:v>
                </c:pt>
                <c:pt idx="16">
                  <c:v>2.4285714285714279</c:v>
                </c:pt>
                <c:pt idx="17">
                  <c:v>2.5714285714285707</c:v>
                </c:pt>
                <c:pt idx="18">
                  <c:v>2.7142857142857135</c:v>
                </c:pt>
                <c:pt idx="19">
                  <c:v>2.8571428571428563</c:v>
                </c:pt>
                <c:pt idx="20">
                  <c:v>2.9999999999999991</c:v>
                </c:pt>
                <c:pt idx="21">
                  <c:v>3.1428571428571419</c:v>
                </c:pt>
                <c:pt idx="22">
                  <c:v>3.2857142857142847</c:v>
                </c:pt>
                <c:pt idx="23">
                  <c:v>3.4285714285714275</c:v>
                </c:pt>
                <c:pt idx="24">
                  <c:v>3.5714285714285703</c:v>
                </c:pt>
                <c:pt idx="25">
                  <c:v>3.7142857142857131</c:v>
                </c:pt>
                <c:pt idx="26">
                  <c:v>3.8571428571428559</c:v>
                </c:pt>
                <c:pt idx="27">
                  <c:v>3.9999999999999987</c:v>
                </c:pt>
                <c:pt idx="28">
                  <c:v>4.1428571428571415</c:v>
                </c:pt>
                <c:pt idx="29">
                  <c:v>4.2857142857142847</c:v>
                </c:pt>
                <c:pt idx="30">
                  <c:v>4.4285714285714279</c:v>
                </c:pt>
                <c:pt idx="31">
                  <c:v>4.5714285714285712</c:v>
                </c:pt>
                <c:pt idx="32">
                  <c:v>4.7142857142857144</c:v>
                </c:pt>
                <c:pt idx="33">
                  <c:v>4.8571428571428577</c:v>
                </c:pt>
                <c:pt idx="34">
                  <c:v>5.0000000000000009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0E-401E-B4B4-FB594FCCA206}"/>
            </c:ext>
          </c:extLst>
        </c:ser>
        <c:ser>
          <c:idx val="1"/>
          <c:order val="1"/>
          <c:tx>
            <c:strRef>
              <c:f>MORTALITY!$F$2</c:f>
              <c:strCache>
                <c:ptCount val="1"/>
                <c:pt idx="0">
                  <c:v>Actual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MORTALITY!$F$3:$F$37</c:f>
              <c:numCache>
                <c:formatCode>General</c:formatCode>
                <c:ptCount val="35"/>
                <c:pt idx="0">
                  <c:v>0.18928571428571431</c:v>
                </c:pt>
                <c:pt idx="1">
                  <c:v>0.47499999999999998</c:v>
                </c:pt>
                <c:pt idx="2">
                  <c:v>0.78214285714285714</c:v>
                </c:pt>
                <c:pt idx="3">
                  <c:v>1.0642857142857143</c:v>
                </c:pt>
                <c:pt idx="4">
                  <c:v>1.4071428571428573</c:v>
                </c:pt>
                <c:pt idx="5">
                  <c:v>1.6964285714285714</c:v>
                </c:pt>
                <c:pt idx="6">
                  <c:v>1.9642857142857142</c:v>
                </c:pt>
                <c:pt idx="7">
                  <c:v>2.2642857142857142</c:v>
                </c:pt>
                <c:pt idx="8">
                  <c:v>2.5499999999999998</c:v>
                </c:pt>
                <c:pt idx="9">
                  <c:v>2.7928571428571427</c:v>
                </c:pt>
                <c:pt idx="10">
                  <c:v>3.0607142857142855</c:v>
                </c:pt>
                <c:pt idx="11">
                  <c:v>3.3642857142857139</c:v>
                </c:pt>
                <c:pt idx="12">
                  <c:v>3.7428571428571429</c:v>
                </c:pt>
                <c:pt idx="13">
                  <c:v>4.0821428571428573</c:v>
                </c:pt>
                <c:pt idx="14">
                  <c:v>4.4428571428571431</c:v>
                </c:pt>
                <c:pt idx="15">
                  <c:v>4.7178571428571434</c:v>
                </c:pt>
                <c:pt idx="16">
                  <c:v>5.2642857142857142</c:v>
                </c:pt>
                <c:pt idx="17">
                  <c:v>5.7785714285714285</c:v>
                </c:pt>
                <c:pt idx="18">
                  <c:v>6.1678571428571427</c:v>
                </c:pt>
                <c:pt idx="19">
                  <c:v>6.4428571428571431</c:v>
                </c:pt>
                <c:pt idx="20">
                  <c:v>6.9464285714285712</c:v>
                </c:pt>
                <c:pt idx="21">
                  <c:v>7.0821428571428573</c:v>
                </c:pt>
                <c:pt idx="22">
                  <c:v>7.2178571428571425</c:v>
                </c:pt>
                <c:pt idx="23">
                  <c:v>7.3678571428571429</c:v>
                </c:pt>
                <c:pt idx="24">
                  <c:v>7.5928571428571425</c:v>
                </c:pt>
                <c:pt idx="25">
                  <c:v>7.7357142857142858</c:v>
                </c:pt>
                <c:pt idx="26">
                  <c:v>7.9357142857142859</c:v>
                </c:pt>
                <c:pt idx="27">
                  <c:v>8.0785714285714274</c:v>
                </c:pt>
                <c:pt idx="28">
                  <c:v>8.4214285714285708</c:v>
                </c:pt>
                <c:pt idx="29">
                  <c:v>8.7178571428571416</c:v>
                </c:pt>
                <c:pt idx="30">
                  <c:v>8.9749999999999996</c:v>
                </c:pt>
                <c:pt idx="31">
                  <c:v>9.3249999999999993</c:v>
                </c:pt>
                <c:pt idx="32">
                  <c:v>9.6142857142857139</c:v>
                </c:pt>
                <c:pt idx="33">
                  <c:v>9.9214285714285708</c:v>
                </c:pt>
                <c:pt idx="34">
                  <c:v>10.242857142857142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0E-401E-B4B4-FB594FCCA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5649072"/>
        <c:axId val="315645712"/>
      </c:lineChart>
      <c:catAx>
        <c:axId val="315649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Age</a:t>
                </a:r>
                <a:r>
                  <a:rPr lang="en-PH" baseline="0"/>
                  <a:t> (days)</a:t>
                </a:r>
                <a:endParaRPr lang="en-P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645712"/>
        <c:crosses val="autoZero"/>
        <c:auto val="1"/>
        <c:lblAlgn val="ctr"/>
        <c:lblOffset val="100"/>
        <c:noMultiLvlLbl val="0"/>
      </c:catAx>
      <c:valAx>
        <c:axId val="31564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Mortality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64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ADG!$C$1</c:f>
              <c:strCache>
                <c:ptCount val="1"/>
                <c:pt idx="0">
                  <c:v>STANDARD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ADG!$C$2:$C$37</c:f>
              <c:numCache>
                <c:formatCode>General</c:formatCode>
                <c:ptCount val="36"/>
                <c:pt idx="0">
                  <c:v>0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23</c:v>
                </c:pt>
                <c:pt idx="5">
                  <c:v>26</c:v>
                </c:pt>
                <c:pt idx="6">
                  <c:v>28</c:v>
                </c:pt>
                <c:pt idx="7">
                  <c:v>31</c:v>
                </c:pt>
                <c:pt idx="8">
                  <c:v>35</c:v>
                </c:pt>
                <c:pt idx="9">
                  <c:v>37</c:v>
                </c:pt>
                <c:pt idx="10">
                  <c:v>41</c:v>
                </c:pt>
                <c:pt idx="11">
                  <c:v>44</c:v>
                </c:pt>
                <c:pt idx="12">
                  <c:v>47</c:v>
                </c:pt>
                <c:pt idx="13">
                  <c:v>51</c:v>
                </c:pt>
                <c:pt idx="14">
                  <c:v>53</c:v>
                </c:pt>
                <c:pt idx="15">
                  <c:v>57</c:v>
                </c:pt>
                <c:pt idx="16">
                  <c:v>61</c:v>
                </c:pt>
                <c:pt idx="17">
                  <c:v>63</c:v>
                </c:pt>
                <c:pt idx="18">
                  <c:v>66</c:v>
                </c:pt>
                <c:pt idx="19">
                  <c:v>69</c:v>
                </c:pt>
                <c:pt idx="20">
                  <c:v>72</c:v>
                </c:pt>
                <c:pt idx="21">
                  <c:v>75</c:v>
                </c:pt>
                <c:pt idx="22">
                  <c:v>78</c:v>
                </c:pt>
                <c:pt idx="23">
                  <c:v>80</c:v>
                </c:pt>
                <c:pt idx="24">
                  <c:v>82</c:v>
                </c:pt>
                <c:pt idx="25">
                  <c:v>84</c:v>
                </c:pt>
                <c:pt idx="26">
                  <c:v>87</c:v>
                </c:pt>
                <c:pt idx="27">
                  <c:v>88</c:v>
                </c:pt>
                <c:pt idx="28">
                  <c:v>90</c:v>
                </c:pt>
                <c:pt idx="29">
                  <c:v>92</c:v>
                </c:pt>
                <c:pt idx="30">
                  <c:v>93</c:v>
                </c:pt>
                <c:pt idx="31">
                  <c:v>94</c:v>
                </c:pt>
                <c:pt idx="32">
                  <c:v>95</c:v>
                </c:pt>
                <c:pt idx="33">
                  <c:v>96</c:v>
                </c:pt>
                <c:pt idx="34">
                  <c:v>97</c:v>
                </c:pt>
                <c:pt idx="35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12-4FDE-BC61-2CE2729DEDB9}"/>
            </c:ext>
          </c:extLst>
        </c:ser>
        <c:ser>
          <c:idx val="1"/>
          <c:order val="1"/>
          <c:tx>
            <c:strRef>
              <c:f>ADG!$D$1</c:f>
              <c:strCache>
                <c:ptCount val="1"/>
                <c:pt idx="0">
                  <c:v>ADG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ADG!$D$2:$D$37</c:f>
              <c:numCache>
                <c:formatCode>General</c:formatCode>
                <c:ptCount val="36"/>
                <c:pt idx="0">
                  <c:v>0</c:v>
                </c:pt>
                <c:pt idx="1">
                  <c:v>15</c:v>
                </c:pt>
                <c:pt idx="2">
                  <c:v>16</c:v>
                </c:pt>
                <c:pt idx="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12-4FDE-BC61-2CE2729DE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5659632"/>
        <c:axId val="315660112"/>
      </c:lineChart>
      <c:catAx>
        <c:axId val="315659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Age</a:t>
                </a:r>
                <a:r>
                  <a:rPr lang="en-PH" baseline="0"/>
                  <a:t> (Days)</a:t>
                </a:r>
                <a:endParaRPr lang="en-P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660112"/>
        <c:crosses val="autoZero"/>
        <c:auto val="1"/>
        <c:lblAlgn val="ctr"/>
        <c:lblOffset val="100"/>
        <c:noMultiLvlLbl val="0"/>
      </c:catAx>
      <c:valAx>
        <c:axId val="31566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ADG (Grams)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65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66824186575174"/>
          <c:y val="8.3147735708982928E-2"/>
          <c:w val="0.74372261557183905"/>
          <c:h val="0.78499389135378117"/>
        </c:manualLayout>
      </c:layout>
      <c:lineChart>
        <c:grouping val="standard"/>
        <c:varyColors val="0"/>
        <c:ser>
          <c:idx val="0"/>
          <c:order val="0"/>
          <c:tx>
            <c:strRef>
              <c:f>'DAILY WEIGHT'!$C$1</c:f>
              <c:strCache>
                <c:ptCount val="1"/>
                <c:pt idx="0">
                  <c:v>STANDARD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'DAILY WEIGHT'!$C$2:$C$37</c:f>
              <c:numCache>
                <c:formatCode>General</c:formatCode>
                <c:ptCount val="36"/>
                <c:pt idx="0">
                  <c:v>43</c:v>
                </c:pt>
                <c:pt idx="1">
                  <c:v>61</c:v>
                </c:pt>
                <c:pt idx="2">
                  <c:v>79</c:v>
                </c:pt>
                <c:pt idx="3">
                  <c:v>99</c:v>
                </c:pt>
                <c:pt idx="4">
                  <c:v>122</c:v>
                </c:pt>
                <c:pt idx="5">
                  <c:v>148</c:v>
                </c:pt>
                <c:pt idx="6">
                  <c:v>176</c:v>
                </c:pt>
                <c:pt idx="7">
                  <c:v>207</c:v>
                </c:pt>
                <c:pt idx="8">
                  <c:v>242</c:v>
                </c:pt>
                <c:pt idx="9">
                  <c:v>279</c:v>
                </c:pt>
                <c:pt idx="10">
                  <c:v>320</c:v>
                </c:pt>
                <c:pt idx="11">
                  <c:v>364</c:v>
                </c:pt>
                <c:pt idx="12">
                  <c:v>411</c:v>
                </c:pt>
                <c:pt idx="13">
                  <c:v>462</c:v>
                </c:pt>
                <c:pt idx="14">
                  <c:v>515</c:v>
                </c:pt>
                <c:pt idx="15">
                  <c:v>572</c:v>
                </c:pt>
                <c:pt idx="16">
                  <c:v>633</c:v>
                </c:pt>
                <c:pt idx="17">
                  <c:v>696</c:v>
                </c:pt>
                <c:pt idx="18">
                  <c:v>762</c:v>
                </c:pt>
                <c:pt idx="19">
                  <c:v>831</c:v>
                </c:pt>
                <c:pt idx="20">
                  <c:v>903</c:v>
                </c:pt>
                <c:pt idx="21">
                  <c:v>978</c:v>
                </c:pt>
                <c:pt idx="22">
                  <c:v>1056</c:v>
                </c:pt>
                <c:pt idx="23">
                  <c:v>1136</c:v>
                </c:pt>
                <c:pt idx="24">
                  <c:v>1218</c:v>
                </c:pt>
                <c:pt idx="25">
                  <c:v>1302</c:v>
                </c:pt>
                <c:pt idx="26">
                  <c:v>1389</c:v>
                </c:pt>
                <c:pt idx="27">
                  <c:v>1477</c:v>
                </c:pt>
                <c:pt idx="28">
                  <c:v>1567</c:v>
                </c:pt>
                <c:pt idx="29">
                  <c:v>1659</c:v>
                </c:pt>
                <c:pt idx="30">
                  <c:v>1752</c:v>
                </c:pt>
                <c:pt idx="31">
                  <c:v>1846</c:v>
                </c:pt>
                <c:pt idx="32">
                  <c:v>1941</c:v>
                </c:pt>
                <c:pt idx="33">
                  <c:v>2037</c:v>
                </c:pt>
                <c:pt idx="34">
                  <c:v>2134</c:v>
                </c:pt>
                <c:pt idx="35">
                  <c:v>2231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96-4CC6-B792-AD496E3C4F29}"/>
            </c:ext>
          </c:extLst>
        </c:ser>
        <c:ser>
          <c:idx val="1"/>
          <c:order val="1"/>
          <c:tx>
            <c:strRef>
              <c:f>'DAILY WEIGHT'!$D$1</c:f>
              <c:strCache>
                <c:ptCount val="1"/>
                <c:pt idx="0">
                  <c:v>ACTUAL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'DAILY WEIGHT'!$D$2:$D$37</c:f>
              <c:numCache>
                <c:formatCode>General</c:formatCode>
                <c:ptCount val="36"/>
                <c:pt idx="0">
                  <c:v>39.333333333333336</c:v>
                </c:pt>
                <c:pt idx="1">
                  <c:v>56.666666666666664</c:v>
                </c:pt>
                <c:pt idx="2">
                  <c:v>81.666666666666671</c:v>
                </c:pt>
                <c:pt idx="3">
                  <c:v>100</c:v>
                </c:pt>
                <c:pt idx="4">
                  <c:v>120</c:v>
                </c:pt>
                <c:pt idx="5">
                  <c:v>140</c:v>
                </c:pt>
                <c:pt idx="6">
                  <c:v>165</c:v>
                </c:pt>
                <c:pt idx="7">
                  <c:v>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96-4CC6-B792-AD496E3C4F2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71399056"/>
        <c:axId val="1376724784"/>
      </c:lineChart>
      <c:catAx>
        <c:axId val="1371399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AGE </a:t>
                </a:r>
                <a:r>
                  <a:rPr lang="en-US" sz="1200" b="1" cap="none" baseline="0"/>
                  <a:t>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724784"/>
        <c:crosses val="autoZero"/>
        <c:auto val="1"/>
        <c:lblAlgn val="ctr"/>
        <c:lblOffset val="100"/>
        <c:noMultiLvlLbl val="0"/>
      </c:catAx>
      <c:valAx>
        <c:axId val="137672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LIVEWEIGHT (kgs)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399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26953107091488"/>
          <c:y val="7.1428571428571425E-2"/>
          <c:w val="0.72851177228212394"/>
          <c:h val="0.79641872890888643"/>
        </c:manualLayout>
      </c:layout>
      <c:lineChart>
        <c:grouping val="standard"/>
        <c:varyColors val="0"/>
        <c:ser>
          <c:idx val="0"/>
          <c:order val="0"/>
          <c:tx>
            <c:strRef>
              <c:f>'FEED CONSUMPTION'!$C$1</c:f>
              <c:strCache>
                <c:ptCount val="1"/>
                <c:pt idx="0">
                  <c:v>STANDARD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'FEED CONSUMPTION'!$C$2:$C$37</c:f>
              <c:numCache>
                <c:formatCode>General</c:formatCode>
                <c:ptCount val="36"/>
                <c:pt idx="0">
                  <c:v>0</c:v>
                </c:pt>
                <c:pt idx="1">
                  <c:v>13</c:v>
                </c:pt>
                <c:pt idx="2">
                  <c:v>17</c:v>
                </c:pt>
                <c:pt idx="3">
                  <c:v>21</c:v>
                </c:pt>
                <c:pt idx="4">
                  <c:v>25</c:v>
                </c:pt>
                <c:pt idx="5">
                  <c:v>28</c:v>
                </c:pt>
                <c:pt idx="6">
                  <c:v>32</c:v>
                </c:pt>
                <c:pt idx="7">
                  <c:v>36</c:v>
                </c:pt>
                <c:pt idx="8">
                  <c:v>40</c:v>
                </c:pt>
                <c:pt idx="9">
                  <c:v>44</c:v>
                </c:pt>
                <c:pt idx="10">
                  <c:v>48</c:v>
                </c:pt>
                <c:pt idx="11">
                  <c:v>53</c:v>
                </c:pt>
                <c:pt idx="12">
                  <c:v>57</c:v>
                </c:pt>
                <c:pt idx="13">
                  <c:v>62</c:v>
                </c:pt>
                <c:pt idx="14">
                  <c:v>68</c:v>
                </c:pt>
                <c:pt idx="15">
                  <c:v>73</c:v>
                </c:pt>
                <c:pt idx="16">
                  <c:v>78</c:v>
                </c:pt>
                <c:pt idx="17">
                  <c:v>84</c:v>
                </c:pt>
                <c:pt idx="18">
                  <c:v>90</c:v>
                </c:pt>
                <c:pt idx="19">
                  <c:v>96</c:v>
                </c:pt>
                <c:pt idx="20">
                  <c:v>102</c:v>
                </c:pt>
                <c:pt idx="21">
                  <c:v>108</c:v>
                </c:pt>
                <c:pt idx="22">
                  <c:v>114</c:v>
                </c:pt>
                <c:pt idx="23">
                  <c:v>120</c:v>
                </c:pt>
                <c:pt idx="24">
                  <c:v>126</c:v>
                </c:pt>
                <c:pt idx="25">
                  <c:v>133</c:v>
                </c:pt>
                <c:pt idx="26">
                  <c:v>139</c:v>
                </c:pt>
                <c:pt idx="27">
                  <c:v>145</c:v>
                </c:pt>
                <c:pt idx="28">
                  <c:v>151</c:v>
                </c:pt>
                <c:pt idx="29">
                  <c:v>156</c:v>
                </c:pt>
                <c:pt idx="30">
                  <c:v>162</c:v>
                </c:pt>
                <c:pt idx="31">
                  <c:v>168</c:v>
                </c:pt>
                <c:pt idx="32">
                  <c:v>173</c:v>
                </c:pt>
                <c:pt idx="33">
                  <c:v>178</c:v>
                </c:pt>
                <c:pt idx="34">
                  <c:v>184</c:v>
                </c:pt>
                <c:pt idx="35">
                  <c:v>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65-461D-99F5-CF31E45D8866}"/>
            </c:ext>
          </c:extLst>
        </c:ser>
        <c:ser>
          <c:idx val="1"/>
          <c:order val="1"/>
          <c:tx>
            <c:strRef>
              <c:f>'FEED CONSUMPTION'!$D$1</c:f>
              <c:strCache>
                <c:ptCount val="1"/>
                <c:pt idx="0">
                  <c:v>ACTUAL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'FEED CONSUMPTION'!$D$2:$D$37</c:f>
              <c:numCache>
                <c:formatCode>_(* #,##0.00_);_(* \(#,##0.00\);_(* "-"??_);_(@_)</c:formatCode>
                <c:ptCount val="3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65-461D-99F5-CF31E45D8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1681920"/>
        <c:axId val="1155098640"/>
      </c:lineChart>
      <c:catAx>
        <c:axId val="115168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AGE IN 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098640"/>
        <c:crosses val="autoZero"/>
        <c:auto val="1"/>
        <c:lblAlgn val="ctr"/>
        <c:lblOffset val="100"/>
        <c:noMultiLvlLbl val="0"/>
      </c:catAx>
      <c:valAx>
        <c:axId val="115509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FEED CONSUMED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68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5376568155269306"/>
          <c:y val="7.1428571428571425E-2"/>
          <c:w val="0.14448193950923"/>
          <c:h val="0.1097473753280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Age in Days</a:t>
            </a:r>
            <a:endParaRPr lang="en-US"/>
          </a:p>
        </c:rich>
      </c:tx>
      <c:layout>
        <c:manualLayout>
          <c:xMode val="edge"/>
          <c:yMode val="edge"/>
          <c:x val="0.41773738563053447"/>
          <c:y val="0.888888888888888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78937007874017"/>
          <c:y val="0.17171296296296296"/>
          <c:w val="0.67932174103237097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FCR!$C$1</c:f>
              <c:strCache>
                <c:ptCount val="1"/>
                <c:pt idx="0">
                  <c:v>STANDARD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FCR!$C$2:$C$37</c:f>
              <c:numCache>
                <c:formatCode>General</c:formatCode>
                <c:ptCount val="36"/>
                <c:pt idx="0">
                  <c:v>0</c:v>
                </c:pt>
                <c:pt idx="1">
                  <c:v>0.215</c:v>
                </c:pt>
                <c:pt idx="2">
                  <c:v>0.38400000000000001</c:v>
                </c:pt>
                <c:pt idx="3">
                  <c:v>0.51600000000000001</c:v>
                </c:pt>
                <c:pt idx="4">
                  <c:v>0.621</c:v>
                </c:pt>
                <c:pt idx="5">
                  <c:v>0.70499999999999996</c:v>
                </c:pt>
                <c:pt idx="6">
                  <c:v>0.77200000000000002</c:v>
                </c:pt>
                <c:pt idx="7">
                  <c:v>0.82799999999999996</c:v>
                </c:pt>
                <c:pt idx="8">
                  <c:v>0.875</c:v>
                </c:pt>
                <c:pt idx="9">
                  <c:v>0.91400000000000003</c:v>
                </c:pt>
                <c:pt idx="10">
                  <c:v>0.94799999999999995</c:v>
                </c:pt>
                <c:pt idx="11">
                  <c:v>0.97899999999999998</c:v>
                </c:pt>
                <c:pt idx="12">
                  <c:v>1.006</c:v>
                </c:pt>
                <c:pt idx="13">
                  <c:v>1.0309999999999999</c:v>
                </c:pt>
                <c:pt idx="14">
                  <c:v>1.0549999999999999</c:v>
                </c:pt>
                <c:pt idx="15">
                  <c:v>1.077</c:v>
                </c:pt>
                <c:pt idx="16">
                  <c:v>1.099</c:v>
                </c:pt>
                <c:pt idx="17">
                  <c:v>1.1200000000000001</c:v>
                </c:pt>
                <c:pt idx="18">
                  <c:v>1.1399999999999999</c:v>
                </c:pt>
                <c:pt idx="19">
                  <c:v>1.161</c:v>
                </c:pt>
                <c:pt idx="20">
                  <c:v>1.181</c:v>
                </c:pt>
                <c:pt idx="21">
                  <c:v>1.2010000000000001</c:v>
                </c:pt>
                <c:pt idx="22">
                  <c:v>1.2210000000000001</c:v>
                </c:pt>
                <c:pt idx="23">
                  <c:v>1.2410000000000001</c:v>
                </c:pt>
                <c:pt idx="24">
                  <c:v>1.2609999999999999</c:v>
                </c:pt>
                <c:pt idx="25">
                  <c:v>1.2809999999999999</c:v>
                </c:pt>
                <c:pt idx="26">
                  <c:v>1.3009999999999999</c:v>
                </c:pt>
                <c:pt idx="27">
                  <c:v>1.321</c:v>
                </c:pt>
                <c:pt idx="28">
                  <c:v>1.341</c:v>
                </c:pt>
                <c:pt idx="29">
                  <c:v>1.361</c:v>
                </c:pt>
                <c:pt idx="30">
                  <c:v>1.3819999999999999</c:v>
                </c:pt>
                <c:pt idx="31">
                  <c:v>1.4019999999999999</c:v>
                </c:pt>
                <c:pt idx="32">
                  <c:v>1.423</c:v>
                </c:pt>
                <c:pt idx="33">
                  <c:v>1.4430000000000001</c:v>
                </c:pt>
                <c:pt idx="34">
                  <c:v>1.464</c:v>
                </c:pt>
                <c:pt idx="35">
                  <c:v>1.484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7A-4451-9946-132D1746D28E}"/>
            </c:ext>
          </c:extLst>
        </c:ser>
        <c:ser>
          <c:idx val="1"/>
          <c:order val="1"/>
          <c:tx>
            <c:strRef>
              <c:f>FCR!$D$1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FCR!$D$2:$D$37</c:f>
              <c:numCache>
                <c:formatCode>General</c:formatCode>
                <c:ptCount val="36"/>
                <c:pt idx="0">
                  <c:v>0</c:v>
                </c:pt>
                <c:pt idx="1">
                  <c:v>0.3</c:v>
                </c:pt>
                <c:pt idx="2">
                  <c:v>0.4</c:v>
                </c:pt>
                <c:pt idx="3">
                  <c:v>0.6</c:v>
                </c:pt>
                <c:pt idx="4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7A-4451-9946-132D1746D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5494752"/>
        <c:axId val="2105500992"/>
      </c:lineChart>
      <c:catAx>
        <c:axId val="2105494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500992"/>
        <c:crosses val="autoZero"/>
        <c:auto val="1"/>
        <c:lblAlgn val="ctr"/>
        <c:lblOffset val="100"/>
        <c:noMultiLvlLbl val="0"/>
      </c:catAx>
      <c:valAx>
        <c:axId val="210550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FCR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49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2021609798775152"/>
          <c:y val="6.0763342082239678E-2"/>
          <c:w val="0.17236612946746144"/>
          <c:h val="0.110532954214056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144780</xdr:colOff>
      <xdr:row>1</xdr:row>
      <xdr:rowOff>175260</xdr:rowOff>
    </xdr:from>
    <xdr:to>
      <xdr:col>16</xdr:col>
      <xdr:colOff>381000</xdr:colOff>
      <xdr:row>17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4AA28B-706E-095E-66BB-B24A621E3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182880</xdr:colOff>
      <xdr:row>1</xdr:row>
      <xdr:rowOff>22860</xdr:rowOff>
    </xdr:from>
    <xdr:to>
      <xdr:col>12</xdr:col>
      <xdr:colOff>601980</xdr:colOff>
      <xdr:row>14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9CF2AC-CE30-AAC9-25C5-97081D7FA2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118110</xdr:colOff>
      <xdr:row>0</xdr:row>
      <xdr:rowOff>194309</xdr:rowOff>
    </xdr:from>
    <xdr:to>
      <xdr:col>15</xdr:col>
      <xdr:colOff>461009</xdr:colOff>
      <xdr:row>22</xdr:row>
      <xdr:rowOff>72389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82E316-2C8F-4FBA-8926-B622A31D7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365758</xdr:colOff>
      <xdr:row>1</xdr:row>
      <xdr:rowOff>140971</xdr:rowOff>
    </xdr:from>
    <xdr:to>
      <xdr:col>16</xdr:col>
      <xdr:colOff>575309</xdr:colOff>
      <xdr:row>24</xdr:row>
      <xdr:rowOff>17146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9C0867-4C64-4091-9563-C35FFB4E93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16</xdr:row>
      <xdr:rowOff>137160</xdr:rowOff>
    </xdr:from>
    <xdr:to>
      <xdr:col>11</xdr:col>
      <xdr:colOff>518160</xdr:colOff>
      <xdr:row>30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C12A33-DAD3-F847-2925-B5C2E9915E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54576-7986-4E50-86C0-4E63D09D42F5}">
  <dimension ref="A1:W38"/>
  <sheetViews>
    <sheetView topLeftCell="A14" workbookViewId="0">
      <selection activeCell="F37" sqref="F37"/>
    </sheetView>
  </sheetViews>
  <sheetFormatPr defaultRowHeight="14.4" x14ac:dyDescent="0.3"/>
  <cols>
    <col min="1" max="2" width="8.88671875" style="16"/>
    <col min="3" max="3" width="11.21875" style="16" customWidth="1"/>
    <col min="4" max="4" width="11.6640625" style="16" customWidth="1"/>
    <col min="5" max="5" width="11.5546875" style="16" customWidth="1"/>
    <col min="6" max="6" width="14.109375" style="16" customWidth="1"/>
    <col min="7" max="7" width="13.44140625" style="16" customWidth="1"/>
    <col min="8" max="8" width="8.44140625" style="16" customWidth="1"/>
    <col min="9" max="9" width="8.33203125" style="16" customWidth="1"/>
    <col min="10" max="10" width="8" style="16" customWidth="1"/>
    <col min="11" max="11" width="8.109375" style="16" customWidth="1"/>
    <col min="12" max="12" width="8.88671875" style="16"/>
    <col min="13" max="13" width="7.88671875" style="16" customWidth="1"/>
    <col min="14" max="14" width="8.77734375" style="16" customWidth="1"/>
    <col min="15" max="15" width="8.5546875" style="16" customWidth="1"/>
    <col min="16" max="16" width="16.44140625" style="16" customWidth="1"/>
    <col min="17" max="17" width="12.6640625" style="16" customWidth="1"/>
    <col min="18" max="18" width="8.88671875" style="16"/>
    <col min="19" max="19" width="11.33203125" style="16" customWidth="1"/>
    <col min="20" max="20" width="14.33203125" style="16" bestFit="1" customWidth="1"/>
    <col min="21" max="21" width="8.33203125" style="16" customWidth="1"/>
    <col min="22" max="22" width="13.109375" style="16" customWidth="1"/>
    <col min="23" max="16384" width="8.88671875" style="16"/>
  </cols>
  <sheetData>
    <row r="1" spans="1:23" x14ac:dyDescent="0.3">
      <c r="A1" s="17" t="s">
        <v>32</v>
      </c>
      <c r="B1" s="29" t="s">
        <v>31</v>
      </c>
      <c r="C1" s="21" t="s">
        <v>41</v>
      </c>
      <c r="D1" s="24" t="s">
        <v>42</v>
      </c>
      <c r="E1" s="24" t="s">
        <v>43</v>
      </c>
      <c r="F1" s="18" t="s">
        <v>44</v>
      </c>
      <c r="G1" s="21" t="s">
        <v>45</v>
      </c>
      <c r="H1" s="21" t="s">
        <v>46</v>
      </c>
      <c r="I1" s="21" t="s">
        <v>47</v>
      </c>
      <c r="J1" s="21" t="s">
        <v>48</v>
      </c>
      <c r="K1" s="21" t="s">
        <v>49</v>
      </c>
      <c r="L1" s="16" t="s">
        <v>50</v>
      </c>
      <c r="M1" s="22" t="s">
        <v>51</v>
      </c>
      <c r="N1" s="30" t="s">
        <v>38</v>
      </c>
      <c r="O1" s="22" t="s">
        <v>37</v>
      </c>
      <c r="P1" s="30"/>
      <c r="Q1" s="31"/>
      <c r="R1" s="38"/>
      <c r="S1" s="18"/>
      <c r="T1" s="18"/>
      <c r="U1" s="18"/>
      <c r="V1" s="18"/>
      <c r="W1" s="18"/>
    </row>
    <row r="2" spans="1:23" ht="15.6" x14ac:dyDescent="0.3">
      <c r="B2" s="14">
        <v>0</v>
      </c>
      <c r="C2" s="39">
        <v>40</v>
      </c>
      <c r="D2" s="39">
        <v>0</v>
      </c>
      <c r="E2" s="40">
        <v>0</v>
      </c>
      <c r="F2" s="16">
        <v>0</v>
      </c>
      <c r="G2" s="14">
        <v>43</v>
      </c>
      <c r="H2" s="12">
        <v>0</v>
      </c>
      <c r="I2" s="12"/>
      <c r="J2" s="12"/>
      <c r="L2" s="16">
        <v>0</v>
      </c>
      <c r="M2" s="23">
        <v>0</v>
      </c>
      <c r="N2" s="25">
        <v>0</v>
      </c>
      <c r="O2" s="26">
        <v>0</v>
      </c>
      <c r="P2" s="28"/>
      <c r="Q2" s="26"/>
      <c r="R2" s="10"/>
      <c r="V2" s="41"/>
    </row>
    <row r="3" spans="1:23" ht="15.6" x14ac:dyDescent="0.3">
      <c r="B3" s="14">
        <v>1</v>
      </c>
      <c r="C3" s="39">
        <v>49</v>
      </c>
      <c r="D3" s="39">
        <v>15</v>
      </c>
      <c r="E3" s="40">
        <v>15</v>
      </c>
      <c r="F3" s="42">
        <v>0.30612244897959184</v>
      </c>
      <c r="G3" s="14">
        <v>61</v>
      </c>
      <c r="H3" s="12">
        <v>13</v>
      </c>
      <c r="I3" s="12">
        <f>H3</f>
        <v>13</v>
      </c>
      <c r="J3" s="55">
        <f>I3/G3</f>
        <v>0.21311475409836064</v>
      </c>
      <c r="K3" s="53">
        <v>0.14285714285714285</v>
      </c>
      <c r="L3" s="16">
        <f>D3/50</f>
        <v>0.3</v>
      </c>
      <c r="M3" s="23">
        <f>E3/50</f>
        <v>0.3</v>
      </c>
      <c r="N3" s="25">
        <f>H3/50</f>
        <v>0.26</v>
      </c>
      <c r="O3" s="27">
        <f>I3/50</f>
        <v>0.26</v>
      </c>
      <c r="P3" s="28"/>
      <c r="Q3" s="27"/>
      <c r="R3" s="10"/>
      <c r="V3" s="41"/>
    </row>
    <row r="4" spans="1:23" ht="15.6" x14ac:dyDescent="0.3">
      <c r="B4" s="14">
        <v>2</v>
      </c>
      <c r="C4" s="39">
        <v>61</v>
      </c>
      <c r="D4" s="39">
        <v>17</v>
      </c>
      <c r="E4" s="40">
        <v>32</v>
      </c>
      <c r="F4" s="42">
        <v>0.52459016393442626</v>
      </c>
      <c r="G4" s="14">
        <v>79</v>
      </c>
      <c r="H4" s="12">
        <v>17</v>
      </c>
      <c r="I4" s="12">
        <f>H4+I3</f>
        <v>30</v>
      </c>
      <c r="J4" s="55">
        <f t="shared" ref="J4:J37" si="0">I4/G4</f>
        <v>0.379746835443038</v>
      </c>
      <c r="K4" s="53">
        <v>0.2857142857142857</v>
      </c>
      <c r="L4" s="16">
        <f t="shared" ref="L4:L37" si="1">D4/50</f>
        <v>0.34</v>
      </c>
      <c r="M4" s="23">
        <f t="shared" ref="M4:M37" si="2">E4/50</f>
        <v>0.64</v>
      </c>
      <c r="N4" s="25">
        <f t="shared" ref="N4:N37" si="3">H4/50</f>
        <v>0.34</v>
      </c>
      <c r="O4" s="27">
        <f t="shared" ref="O4:O37" si="4">I4/50</f>
        <v>0.6</v>
      </c>
      <c r="P4" s="28"/>
      <c r="Q4" s="27"/>
      <c r="R4" s="10"/>
      <c r="V4" s="41"/>
    </row>
    <row r="5" spans="1:23" ht="15.6" x14ac:dyDescent="0.3">
      <c r="B5" s="14">
        <v>3</v>
      </c>
      <c r="C5" s="39">
        <v>78</v>
      </c>
      <c r="D5" s="39">
        <v>20</v>
      </c>
      <c r="E5" s="40">
        <v>53</v>
      </c>
      <c r="F5" s="42">
        <v>0.67948717948717952</v>
      </c>
      <c r="G5" s="14">
        <v>99</v>
      </c>
      <c r="H5" s="12">
        <v>21</v>
      </c>
      <c r="I5" s="12">
        <f>H5+I4</f>
        <v>51</v>
      </c>
      <c r="J5" s="55">
        <f t="shared" si="0"/>
        <v>0.51515151515151514</v>
      </c>
      <c r="K5" s="53">
        <v>0.42857142857142855</v>
      </c>
      <c r="L5" s="16">
        <f t="shared" si="1"/>
        <v>0.4</v>
      </c>
      <c r="M5" s="23">
        <f t="shared" si="2"/>
        <v>1.06</v>
      </c>
      <c r="N5" s="25">
        <f t="shared" si="3"/>
        <v>0.42</v>
      </c>
      <c r="O5" s="27">
        <f t="shared" si="4"/>
        <v>1.02</v>
      </c>
      <c r="P5" s="28"/>
      <c r="Q5" s="27"/>
      <c r="R5" s="10"/>
      <c r="V5" s="41"/>
    </row>
    <row r="6" spans="1:23" ht="15.6" x14ac:dyDescent="0.3">
      <c r="B6" s="14">
        <v>4</v>
      </c>
      <c r="C6" s="39">
        <v>95</v>
      </c>
      <c r="D6" s="39">
        <v>22</v>
      </c>
      <c r="E6" s="40">
        <v>74</v>
      </c>
      <c r="F6" s="42">
        <v>0.77894736842105261</v>
      </c>
      <c r="G6" s="14">
        <v>122</v>
      </c>
      <c r="H6" s="12">
        <v>25</v>
      </c>
      <c r="I6" s="12">
        <f t="shared" ref="I6:I37" si="5">H6+I5</f>
        <v>76</v>
      </c>
      <c r="J6" s="55">
        <f t="shared" si="0"/>
        <v>0.62295081967213117</v>
      </c>
      <c r="K6" s="53">
        <v>0.5714285714285714</v>
      </c>
      <c r="L6" s="16">
        <f t="shared" si="1"/>
        <v>0.44</v>
      </c>
      <c r="M6" s="23">
        <f t="shared" si="2"/>
        <v>1.48</v>
      </c>
      <c r="N6" s="25">
        <f t="shared" si="3"/>
        <v>0.5</v>
      </c>
      <c r="O6" s="27">
        <f t="shared" si="4"/>
        <v>1.52</v>
      </c>
      <c r="P6" s="28"/>
      <c r="Q6" s="27"/>
      <c r="R6" s="10"/>
      <c r="V6" s="41"/>
    </row>
    <row r="7" spans="1:23" ht="15.6" x14ac:dyDescent="0.3">
      <c r="B7" s="14">
        <v>5</v>
      </c>
      <c r="C7" s="39">
        <v>120</v>
      </c>
      <c r="D7" s="39">
        <v>25</v>
      </c>
      <c r="E7" s="40">
        <v>99</v>
      </c>
      <c r="F7" s="42">
        <v>0.82499999999999996</v>
      </c>
      <c r="G7" s="14">
        <v>148</v>
      </c>
      <c r="H7" s="12">
        <v>28</v>
      </c>
      <c r="I7" s="12">
        <f t="shared" si="5"/>
        <v>104</v>
      </c>
      <c r="J7" s="55">
        <f t="shared" si="0"/>
        <v>0.70270270270270274</v>
      </c>
      <c r="K7" s="53">
        <v>0.71428571428571419</v>
      </c>
      <c r="L7" s="16">
        <f t="shared" si="1"/>
        <v>0.5</v>
      </c>
      <c r="M7" s="23">
        <f t="shared" si="2"/>
        <v>1.98</v>
      </c>
      <c r="N7" s="25">
        <f t="shared" si="3"/>
        <v>0.56000000000000005</v>
      </c>
      <c r="O7" s="27">
        <f t="shared" si="4"/>
        <v>2.08</v>
      </c>
      <c r="P7" s="28"/>
      <c r="Q7" s="27"/>
      <c r="R7" s="10"/>
      <c r="V7" s="41"/>
    </row>
    <row r="8" spans="1:23" ht="15.6" x14ac:dyDescent="0.3">
      <c r="B8" s="14">
        <v>6</v>
      </c>
      <c r="C8" s="39">
        <v>145</v>
      </c>
      <c r="D8" s="39">
        <v>28</v>
      </c>
      <c r="E8" s="40">
        <v>127</v>
      </c>
      <c r="F8" s="42">
        <v>0.87586206896551722</v>
      </c>
      <c r="G8" s="14">
        <v>176</v>
      </c>
      <c r="H8" s="12">
        <v>32</v>
      </c>
      <c r="I8" s="12">
        <f t="shared" si="5"/>
        <v>136</v>
      </c>
      <c r="J8" s="55">
        <f t="shared" si="0"/>
        <v>0.77272727272727271</v>
      </c>
      <c r="K8" s="53">
        <v>0.85714285714285698</v>
      </c>
      <c r="L8" s="16">
        <f t="shared" si="1"/>
        <v>0.56000000000000005</v>
      </c>
      <c r="M8" s="23">
        <f t="shared" si="2"/>
        <v>2.54</v>
      </c>
      <c r="N8" s="25">
        <f t="shared" si="3"/>
        <v>0.64</v>
      </c>
      <c r="O8" s="27">
        <f t="shared" si="4"/>
        <v>2.72</v>
      </c>
      <c r="P8" s="28"/>
      <c r="Q8" s="27"/>
      <c r="R8" s="10"/>
      <c r="V8" s="41"/>
    </row>
    <row r="9" spans="1:23" ht="15.6" x14ac:dyDescent="0.3">
      <c r="B9" s="14">
        <v>7</v>
      </c>
      <c r="C9" s="39">
        <v>175</v>
      </c>
      <c r="D9" s="39">
        <v>30</v>
      </c>
      <c r="E9" s="40">
        <v>157</v>
      </c>
      <c r="F9" s="42">
        <v>0.89714285714285713</v>
      </c>
      <c r="G9" s="14">
        <v>207</v>
      </c>
      <c r="H9" s="12">
        <v>36</v>
      </c>
      <c r="I9" s="12">
        <f t="shared" si="5"/>
        <v>172</v>
      </c>
      <c r="J9" s="55">
        <f t="shared" si="0"/>
        <v>0.83091787439613529</v>
      </c>
      <c r="K9" s="53">
        <v>0.99999999999999978</v>
      </c>
      <c r="L9" s="16">
        <f t="shared" si="1"/>
        <v>0.6</v>
      </c>
      <c r="M9" s="23">
        <f t="shared" si="2"/>
        <v>3.14</v>
      </c>
      <c r="N9" s="25">
        <f t="shared" si="3"/>
        <v>0.72</v>
      </c>
      <c r="O9" s="27">
        <f t="shared" si="4"/>
        <v>3.44</v>
      </c>
      <c r="P9" s="44"/>
      <c r="Q9" s="27"/>
      <c r="R9" s="10"/>
      <c r="V9" s="41"/>
    </row>
    <row r="10" spans="1:23" ht="15.6" x14ac:dyDescent="0.3">
      <c r="B10" s="14">
        <v>8</v>
      </c>
      <c r="C10" s="39">
        <v>205</v>
      </c>
      <c r="D10" s="39">
        <v>34</v>
      </c>
      <c r="E10" s="40">
        <v>191</v>
      </c>
      <c r="F10" s="42">
        <v>0.93170731707317078</v>
      </c>
      <c r="G10" s="14">
        <v>242</v>
      </c>
      <c r="H10" s="12">
        <v>40</v>
      </c>
      <c r="I10" s="12">
        <f t="shared" si="5"/>
        <v>212</v>
      </c>
      <c r="J10" s="55">
        <f t="shared" si="0"/>
        <v>0.87603305785123964</v>
      </c>
      <c r="K10" s="53">
        <v>1.1428571428571426</v>
      </c>
      <c r="L10" s="16">
        <f t="shared" si="1"/>
        <v>0.68</v>
      </c>
      <c r="M10" s="23">
        <f t="shared" si="2"/>
        <v>3.82</v>
      </c>
      <c r="N10" s="25">
        <f t="shared" si="3"/>
        <v>0.8</v>
      </c>
      <c r="O10" s="27">
        <f t="shared" si="4"/>
        <v>4.24</v>
      </c>
      <c r="P10" s="28"/>
      <c r="Q10" s="27"/>
      <c r="R10" s="10"/>
      <c r="V10" s="41"/>
    </row>
    <row r="11" spans="1:23" ht="15.6" x14ac:dyDescent="0.3">
      <c r="B11" s="14">
        <v>9</v>
      </c>
      <c r="C11" s="39">
        <v>238</v>
      </c>
      <c r="D11" s="39">
        <v>38</v>
      </c>
      <c r="E11" s="40">
        <v>229</v>
      </c>
      <c r="F11" s="42">
        <v>0.96218487394957986</v>
      </c>
      <c r="G11" s="14">
        <v>279</v>
      </c>
      <c r="H11" s="12">
        <v>44</v>
      </c>
      <c r="I11" s="12">
        <f t="shared" si="5"/>
        <v>256</v>
      </c>
      <c r="J11" s="55">
        <f t="shared" si="0"/>
        <v>0.91756272401433692</v>
      </c>
      <c r="K11" s="53">
        <v>1.2857142857142854</v>
      </c>
      <c r="L11" s="16">
        <f t="shared" si="1"/>
        <v>0.76</v>
      </c>
      <c r="M11" s="23">
        <f t="shared" si="2"/>
        <v>4.58</v>
      </c>
      <c r="N11" s="25">
        <f t="shared" si="3"/>
        <v>0.88</v>
      </c>
      <c r="O11" s="27">
        <f t="shared" si="4"/>
        <v>5.12</v>
      </c>
      <c r="P11" s="28"/>
      <c r="Q11" s="27"/>
      <c r="R11" s="10"/>
      <c r="V11" s="41"/>
    </row>
    <row r="12" spans="1:23" ht="15.6" x14ac:dyDescent="0.3">
      <c r="B12" s="14">
        <v>10</v>
      </c>
      <c r="C12" s="39">
        <v>273</v>
      </c>
      <c r="D12" s="39">
        <v>43</v>
      </c>
      <c r="E12" s="40">
        <v>272</v>
      </c>
      <c r="F12" s="42">
        <v>0.99633699633699635</v>
      </c>
      <c r="G12" s="14">
        <v>320</v>
      </c>
      <c r="H12" s="12">
        <v>48</v>
      </c>
      <c r="I12" s="12">
        <f t="shared" si="5"/>
        <v>304</v>
      </c>
      <c r="J12" s="55">
        <f t="shared" si="0"/>
        <v>0.95</v>
      </c>
      <c r="K12" s="53">
        <v>1.4285714285714282</v>
      </c>
      <c r="L12" s="16">
        <f t="shared" si="1"/>
        <v>0.86</v>
      </c>
      <c r="M12" s="23">
        <f t="shared" si="2"/>
        <v>5.44</v>
      </c>
      <c r="N12" s="25">
        <f t="shared" si="3"/>
        <v>0.96</v>
      </c>
      <c r="O12" s="27">
        <f t="shared" si="4"/>
        <v>6.08</v>
      </c>
      <c r="P12" s="28"/>
      <c r="Q12" s="27"/>
      <c r="R12" s="10"/>
      <c r="V12" s="41"/>
    </row>
    <row r="13" spans="1:23" ht="15.6" x14ac:dyDescent="0.3">
      <c r="B13" s="14">
        <v>11</v>
      </c>
      <c r="C13" s="39">
        <v>315</v>
      </c>
      <c r="D13" s="39">
        <v>48</v>
      </c>
      <c r="E13" s="40">
        <v>320</v>
      </c>
      <c r="F13" s="42">
        <v>1.0158730158730158</v>
      </c>
      <c r="G13" s="14">
        <v>364</v>
      </c>
      <c r="H13" s="12">
        <v>53</v>
      </c>
      <c r="I13" s="12">
        <f t="shared" si="5"/>
        <v>357</v>
      </c>
      <c r="J13" s="55">
        <f t="shared" si="0"/>
        <v>0.98076923076923073</v>
      </c>
      <c r="K13" s="53">
        <v>1.571428571428571</v>
      </c>
      <c r="L13" s="16">
        <f t="shared" si="1"/>
        <v>0.96</v>
      </c>
      <c r="M13" s="23">
        <f t="shared" si="2"/>
        <v>6.4</v>
      </c>
      <c r="N13" s="25">
        <f t="shared" si="3"/>
        <v>1.06</v>
      </c>
      <c r="O13" s="27">
        <f t="shared" si="4"/>
        <v>7.14</v>
      </c>
      <c r="P13" s="28"/>
      <c r="Q13" s="27"/>
      <c r="R13" s="10"/>
      <c r="V13" s="41"/>
    </row>
    <row r="14" spans="1:23" ht="15.6" x14ac:dyDescent="0.3">
      <c r="B14" s="14">
        <v>12</v>
      </c>
      <c r="C14" s="39">
        <v>357</v>
      </c>
      <c r="D14" s="39">
        <v>52</v>
      </c>
      <c r="E14" s="40">
        <v>372</v>
      </c>
      <c r="F14" s="42">
        <v>1.0420168067226891</v>
      </c>
      <c r="G14" s="14">
        <v>411</v>
      </c>
      <c r="H14" s="12">
        <v>57</v>
      </c>
      <c r="I14" s="12">
        <f t="shared" si="5"/>
        <v>414</v>
      </c>
      <c r="J14" s="55">
        <f t="shared" si="0"/>
        <v>1.0072992700729928</v>
      </c>
      <c r="K14" s="53">
        <v>1.7142857142857137</v>
      </c>
      <c r="L14" s="16">
        <f t="shared" si="1"/>
        <v>1.04</v>
      </c>
      <c r="M14" s="23">
        <f t="shared" si="2"/>
        <v>7.44</v>
      </c>
      <c r="N14" s="25">
        <f t="shared" si="3"/>
        <v>1.1399999999999999</v>
      </c>
      <c r="O14" s="27">
        <f t="shared" si="4"/>
        <v>8.2799999999999994</v>
      </c>
      <c r="P14" s="28"/>
      <c r="Q14" s="27"/>
      <c r="R14" s="10"/>
      <c r="V14" s="41"/>
    </row>
    <row r="15" spans="1:23" ht="15.6" x14ac:dyDescent="0.3">
      <c r="B15" s="14">
        <v>13</v>
      </c>
      <c r="C15" s="39">
        <v>400</v>
      </c>
      <c r="D15" s="39">
        <v>58</v>
      </c>
      <c r="E15" s="40">
        <v>430</v>
      </c>
      <c r="F15" s="42">
        <v>1.075</v>
      </c>
      <c r="G15" s="14">
        <v>462</v>
      </c>
      <c r="H15" s="12">
        <v>62</v>
      </c>
      <c r="I15" s="12">
        <f t="shared" si="5"/>
        <v>476</v>
      </c>
      <c r="J15" s="55">
        <f t="shared" si="0"/>
        <v>1.0303030303030303</v>
      </c>
      <c r="K15" s="53">
        <v>1.8571428571428565</v>
      </c>
      <c r="L15" s="16">
        <f t="shared" si="1"/>
        <v>1.1599999999999999</v>
      </c>
      <c r="M15" s="23">
        <f t="shared" si="2"/>
        <v>8.6</v>
      </c>
      <c r="N15" s="25">
        <f t="shared" si="3"/>
        <v>1.24</v>
      </c>
      <c r="O15" s="27">
        <f t="shared" si="4"/>
        <v>9.52</v>
      </c>
      <c r="P15" s="28"/>
      <c r="Q15" s="27"/>
    </row>
    <row r="16" spans="1:23" ht="15.6" x14ac:dyDescent="0.3">
      <c r="B16" s="14">
        <v>14</v>
      </c>
      <c r="C16" s="39">
        <v>455</v>
      </c>
      <c r="D16" s="39">
        <v>64</v>
      </c>
      <c r="E16" s="40">
        <v>494</v>
      </c>
      <c r="F16" s="42">
        <v>1.0857142857142856</v>
      </c>
      <c r="G16" s="14">
        <v>515</v>
      </c>
      <c r="H16" s="12">
        <v>68</v>
      </c>
      <c r="I16" s="12">
        <f t="shared" si="5"/>
        <v>544</v>
      </c>
      <c r="J16" s="55">
        <f t="shared" si="0"/>
        <v>1.0563106796116506</v>
      </c>
      <c r="K16" s="53">
        <v>1.9999999999999993</v>
      </c>
      <c r="L16" s="16">
        <f t="shared" si="1"/>
        <v>1.28</v>
      </c>
      <c r="M16" s="23">
        <f t="shared" si="2"/>
        <v>9.8800000000000008</v>
      </c>
      <c r="N16" s="25">
        <f t="shared" si="3"/>
        <v>1.36</v>
      </c>
      <c r="O16" s="27">
        <f t="shared" si="4"/>
        <v>10.88</v>
      </c>
      <c r="P16" s="28"/>
      <c r="Q16" s="27"/>
      <c r="V16" s="41"/>
    </row>
    <row r="17" spans="2:22" ht="15.6" x14ac:dyDescent="0.3">
      <c r="B17" s="14">
        <v>15</v>
      </c>
      <c r="C17" s="39">
        <v>495</v>
      </c>
      <c r="D17" s="39">
        <v>68</v>
      </c>
      <c r="E17" s="40">
        <v>562</v>
      </c>
      <c r="F17" s="42">
        <v>1.1353535353535353</v>
      </c>
      <c r="G17" s="14">
        <v>572</v>
      </c>
      <c r="H17" s="12">
        <v>73</v>
      </c>
      <c r="I17" s="12">
        <f t="shared" si="5"/>
        <v>617</v>
      </c>
      <c r="J17" s="55">
        <f t="shared" si="0"/>
        <v>1.0786713286713288</v>
      </c>
      <c r="K17" s="53">
        <v>2.1428571428571423</v>
      </c>
      <c r="L17" s="16">
        <f t="shared" si="1"/>
        <v>1.36</v>
      </c>
      <c r="M17" s="23">
        <f t="shared" si="2"/>
        <v>11.24</v>
      </c>
      <c r="N17" s="25">
        <f t="shared" si="3"/>
        <v>1.46</v>
      </c>
      <c r="O17" s="27">
        <f t="shared" si="4"/>
        <v>12.34</v>
      </c>
      <c r="P17" s="28"/>
      <c r="Q17" s="27"/>
      <c r="V17" s="41"/>
    </row>
    <row r="18" spans="2:22" ht="15.6" x14ac:dyDescent="0.3">
      <c r="B18" s="14">
        <v>16</v>
      </c>
      <c r="C18" s="39">
        <v>547</v>
      </c>
      <c r="D18" s="39">
        <v>74</v>
      </c>
      <c r="E18" s="40">
        <v>636</v>
      </c>
      <c r="F18" s="42">
        <v>1.1627056672760512</v>
      </c>
      <c r="G18" s="14">
        <v>633</v>
      </c>
      <c r="H18" s="12">
        <v>78</v>
      </c>
      <c r="I18" s="12">
        <f t="shared" si="5"/>
        <v>695</v>
      </c>
      <c r="J18" s="55">
        <f t="shared" si="0"/>
        <v>1.0979462875197472</v>
      </c>
      <c r="K18" s="53">
        <v>2.2857142857142851</v>
      </c>
      <c r="L18" s="16">
        <f t="shared" si="1"/>
        <v>1.48</v>
      </c>
      <c r="M18" s="23">
        <f t="shared" si="2"/>
        <v>12.72</v>
      </c>
      <c r="N18" s="25">
        <f t="shared" si="3"/>
        <v>1.56</v>
      </c>
      <c r="O18" s="27">
        <f t="shared" si="4"/>
        <v>13.9</v>
      </c>
      <c r="P18" s="28"/>
      <c r="Q18" s="27"/>
      <c r="V18" s="41"/>
    </row>
    <row r="19" spans="2:22" ht="15.6" x14ac:dyDescent="0.3">
      <c r="B19" s="14">
        <v>17</v>
      </c>
      <c r="C19" s="39">
        <v>601</v>
      </c>
      <c r="D19" s="39">
        <v>80</v>
      </c>
      <c r="E19" s="40">
        <v>716</v>
      </c>
      <c r="F19" s="42">
        <v>1.1913477537437605</v>
      </c>
      <c r="G19" s="14">
        <v>696</v>
      </c>
      <c r="H19" s="12">
        <v>84</v>
      </c>
      <c r="I19" s="12">
        <f t="shared" si="5"/>
        <v>779</v>
      </c>
      <c r="J19" s="55">
        <f t="shared" si="0"/>
        <v>1.1192528735632183</v>
      </c>
      <c r="K19" s="53">
        <v>2.4285714285714279</v>
      </c>
      <c r="L19" s="16">
        <f t="shared" si="1"/>
        <v>1.6</v>
      </c>
      <c r="M19" s="23">
        <f t="shared" si="2"/>
        <v>14.32</v>
      </c>
      <c r="N19" s="25">
        <f t="shared" si="3"/>
        <v>1.68</v>
      </c>
      <c r="O19" s="27">
        <f t="shared" si="4"/>
        <v>15.58</v>
      </c>
      <c r="P19" s="28"/>
      <c r="Q19" s="27"/>
      <c r="V19" s="41"/>
    </row>
    <row r="20" spans="2:22" ht="15.6" x14ac:dyDescent="0.3">
      <c r="B20" s="14">
        <v>18</v>
      </c>
      <c r="C20" s="39">
        <v>658</v>
      </c>
      <c r="D20" s="39">
        <v>86</v>
      </c>
      <c r="E20" s="40">
        <v>802</v>
      </c>
      <c r="F20" s="42">
        <v>1.2188449848024316</v>
      </c>
      <c r="G20" s="14">
        <v>762</v>
      </c>
      <c r="H20" s="12">
        <v>90</v>
      </c>
      <c r="I20" s="12">
        <f t="shared" si="5"/>
        <v>869</v>
      </c>
      <c r="J20" s="55">
        <f t="shared" si="0"/>
        <v>1.1404199475065617</v>
      </c>
      <c r="K20" s="53">
        <v>2.5714285714285707</v>
      </c>
      <c r="L20" s="16">
        <f t="shared" si="1"/>
        <v>1.72</v>
      </c>
      <c r="M20" s="23">
        <f t="shared" si="2"/>
        <v>16.04</v>
      </c>
      <c r="N20" s="25">
        <f t="shared" si="3"/>
        <v>1.8</v>
      </c>
      <c r="O20" s="27">
        <f t="shared" si="4"/>
        <v>17.38</v>
      </c>
      <c r="P20" s="28"/>
      <c r="Q20" s="27"/>
      <c r="V20" s="41"/>
    </row>
    <row r="21" spans="2:22" ht="15.6" x14ac:dyDescent="0.3">
      <c r="B21" s="14">
        <v>19</v>
      </c>
      <c r="C21" s="39">
        <v>717</v>
      </c>
      <c r="D21" s="39">
        <v>92</v>
      </c>
      <c r="E21" s="40">
        <v>894</v>
      </c>
      <c r="F21" s="42">
        <v>1.2468619246861925</v>
      </c>
      <c r="G21" s="14">
        <v>831</v>
      </c>
      <c r="H21" s="12">
        <v>96</v>
      </c>
      <c r="I21" s="12">
        <f t="shared" si="5"/>
        <v>965</v>
      </c>
      <c r="J21" s="55">
        <f t="shared" si="0"/>
        <v>1.161251504211793</v>
      </c>
      <c r="K21" s="53">
        <v>2.7142857142857135</v>
      </c>
      <c r="L21" s="16">
        <f t="shared" si="1"/>
        <v>1.84</v>
      </c>
      <c r="M21" s="23">
        <f t="shared" si="2"/>
        <v>17.88</v>
      </c>
      <c r="N21" s="25">
        <f t="shared" si="3"/>
        <v>1.92</v>
      </c>
      <c r="O21" s="27">
        <f t="shared" si="4"/>
        <v>19.3</v>
      </c>
      <c r="P21" s="28"/>
      <c r="Q21" s="27"/>
      <c r="V21" s="41"/>
    </row>
    <row r="22" spans="2:22" ht="15.6" x14ac:dyDescent="0.3">
      <c r="B22" s="14">
        <v>20</v>
      </c>
      <c r="C22" s="39">
        <v>778</v>
      </c>
      <c r="D22" s="39">
        <v>98</v>
      </c>
      <c r="E22" s="40">
        <v>992</v>
      </c>
      <c r="F22" s="42">
        <v>1.275064267352185</v>
      </c>
      <c r="G22" s="14">
        <v>903</v>
      </c>
      <c r="H22" s="12">
        <v>102</v>
      </c>
      <c r="I22" s="12">
        <f t="shared" si="5"/>
        <v>1067</v>
      </c>
      <c r="J22" s="55">
        <f t="shared" si="0"/>
        <v>1.1816168327796235</v>
      </c>
      <c r="K22" s="53">
        <v>2.8571428571428563</v>
      </c>
      <c r="L22" s="16">
        <f t="shared" si="1"/>
        <v>1.96</v>
      </c>
      <c r="M22" s="23">
        <f t="shared" si="2"/>
        <v>19.84</v>
      </c>
      <c r="N22" s="25">
        <f t="shared" si="3"/>
        <v>2.04</v>
      </c>
      <c r="O22" s="27">
        <f t="shared" si="4"/>
        <v>21.34</v>
      </c>
      <c r="P22" s="28"/>
      <c r="Q22" s="27"/>
      <c r="V22" s="41"/>
    </row>
    <row r="23" spans="2:22" ht="15.6" x14ac:dyDescent="0.3">
      <c r="B23" s="14">
        <v>21</v>
      </c>
      <c r="C23" s="39">
        <v>845</v>
      </c>
      <c r="D23" s="39">
        <v>104</v>
      </c>
      <c r="E23" s="40">
        <v>1096</v>
      </c>
      <c r="F23" s="42">
        <v>1.2970414201183431</v>
      </c>
      <c r="G23" s="14">
        <v>978</v>
      </c>
      <c r="H23" s="12">
        <v>108</v>
      </c>
      <c r="I23" s="12">
        <f t="shared" si="5"/>
        <v>1175</v>
      </c>
      <c r="J23" s="55">
        <f t="shared" si="0"/>
        <v>1.2014314928425358</v>
      </c>
      <c r="K23" s="53">
        <v>2.9999999999999991</v>
      </c>
      <c r="L23" s="16">
        <f t="shared" si="1"/>
        <v>2.08</v>
      </c>
      <c r="M23" s="23">
        <f t="shared" si="2"/>
        <v>21.92</v>
      </c>
      <c r="N23" s="25">
        <f t="shared" si="3"/>
        <v>2.16</v>
      </c>
      <c r="O23" s="27">
        <f t="shared" si="4"/>
        <v>23.5</v>
      </c>
      <c r="P23" s="28"/>
      <c r="Q23" s="27"/>
      <c r="V23" s="41"/>
    </row>
    <row r="24" spans="2:22" ht="15.6" x14ac:dyDescent="0.3">
      <c r="B24" s="14">
        <v>22</v>
      </c>
      <c r="C24" s="39">
        <v>913</v>
      </c>
      <c r="D24" s="39">
        <v>110</v>
      </c>
      <c r="E24" s="40">
        <v>1206</v>
      </c>
      <c r="F24" s="42">
        <v>1.32092004381161</v>
      </c>
      <c r="G24" s="14">
        <v>1056</v>
      </c>
      <c r="H24" s="12">
        <v>114</v>
      </c>
      <c r="I24" s="12">
        <f t="shared" si="5"/>
        <v>1289</v>
      </c>
      <c r="J24" s="55">
        <f t="shared" si="0"/>
        <v>1.2206439393939394</v>
      </c>
      <c r="K24" s="53">
        <v>3.1428571428571419</v>
      </c>
      <c r="L24" s="16">
        <f t="shared" si="1"/>
        <v>2.2000000000000002</v>
      </c>
      <c r="M24" s="23">
        <f t="shared" si="2"/>
        <v>24.12</v>
      </c>
      <c r="N24" s="25">
        <f t="shared" si="3"/>
        <v>2.2799999999999998</v>
      </c>
      <c r="O24" s="27">
        <f t="shared" si="4"/>
        <v>25.78</v>
      </c>
      <c r="P24" s="28"/>
      <c r="Q24" s="27"/>
      <c r="V24" s="41"/>
    </row>
    <row r="25" spans="2:22" ht="15.6" x14ac:dyDescent="0.3">
      <c r="B25" s="14">
        <v>23</v>
      </c>
      <c r="C25" s="39">
        <v>984</v>
      </c>
      <c r="D25" s="39">
        <v>116</v>
      </c>
      <c r="E25" s="40">
        <v>1322</v>
      </c>
      <c r="F25" s="42">
        <v>1.3434959349593496</v>
      </c>
      <c r="G25" s="14">
        <v>1136</v>
      </c>
      <c r="H25" s="12">
        <v>120</v>
      </c>
      <c r="I25" s="12">
        <f t="shared" si="5"/>
        <v>1409</v>
      </c>
      <c r="J25" s="55">
        <f t="shared" si="0"/>
        <v>1.2403169014084507</v>
      </c>
      <c r="K25" s="53">
        <v>3.2857142857142847</v>
      </c>
      <c r="L25" s="16">
        <f t="shared" si="1"/>
        <v>2.3199999999999998</v>
      </c>
      <c r="M25" s="23">
        <f t="shared" si="2"/>
        <v>26.44</v>
      </c>
      <c r="N25" s="25">
        <f t="shared" si="3"/>
        <v>2.4</v>
      </c>
      <c r="O25" s="27">
        <f t="shared" si="4"/>
        <v>28.18</v>
      </c>
      <c r="P25" s="28"/>
      <c r="Q25" s="27"/>
      <c r="V25" s="41"/>
    </row>
    <row r="26" spans="2:22" ht="15.6" x14ac:dyDescent="0.3">
      <c r="B26" s="14">
        <v>24</v>
      </c>
      <c r="C26" s="39">
        <v>1057</v>
      </c>
      <c r="D26" s="39">
        <v>120</v>
      </c>
      <c r="E26" s="40">
        <v>1441</v>
      </c>
      <c r="F26" s="42">
        <v>1.3632923368022707</v>
      </c>
      <c r="G26" s="14">
        <v>1218</v>
      </c>
      <c r="H26" s="12">
        <v>126</v>
      </c>
      <c r="I26" s="12">
        <f t="shared" si="5"/>
        <v>1535</v>
      </c>
      <c r="J26" s="55">
        <f t="shared" si="0"/>
        <v>1.2602627257799672</v>
      </c>
      <c r="K26" s="53">
        <v>3.4285714285714275</v>
      </c>
      <c r="L26" s="16">
        <f t="shared" si="1"/>
        <v>2.4</v>
      </c>
      <c r="M26" s="23">
        <f t="shared" si="2"/>
        <v>28.82</v>
      </c>
      <c r="N26" s="25">
        <f t="shared" si="3"/>
        <v>2.52</v>
      </c>
      <c r="O26" s="27">
        <f t="shared" si="4"/>
        <v>30.7</v>
      </c>
      <c r="P26" s="28"/>
      <c r="Q26" s="27"/>
      <c r="V26" s="41"/>
    </row>
    <row r="27" spans="2:22" ht="15.6" x14ac:dyDescent="0.3">
      <c r="B27" s="14">
        <v>25</v>
      </c>
      <c r="C27" s="39">
        <v>1130</v>
      </c>
      <c r="D27" s="39">
        <v>124</v>
      </c>
      <c r="E27" s="40">
        <v>1566</v>
      </c>
      <c r="F27" s="42">
        <v>1.3858407079646018</v>
      </c>
      <c r="G27" s="14">
        <v>1302</v>
      </c>
      <c r="H27" s="12">
        <v>133</v>
      </c>
      <c r="I27" s="12">
        <f t="shared" si="5"/>
        <v>1668</v>
      </c>
      <c r="J27" s="55">
        <f t="shared" si="0"/>
        <v>1.2811059907834101</v>
      </c>
      <c r="K27" s="53">
        <v>3.5714285714285703</v>
      </c>
      <c r="L27" s="16">
        <f t="shared" si="1"/>
        <v>2.48</v>
      </c>
      <c r="M27" s="23">
        <f t="shared" si="2"/>
        <v>31.32</v>
      </c>
      <c r="N27" s="25">
        <f t="shared" si="3"/>
        <v>2.66</v>
      </c>
      <c r="O27" s="27">
        <f t="shared" si="4"/>
        <v>33.36</v>
      </c>
      <c r="P27" s="28"/>
      <c r="Q27" s="27"/>
      <c r="V27" s="41"/>
    </row>
    <row r="28" spans="2:22" ht="15.6" x14ac:dyDescent="0.3">
      <c r="B28" s="14">
        <v>26</v>
      </c>
      <c r="C28" s="39">
        <v>1203</v>
      </c>
      <c r="D28" s="39">
        <v>128</v>
      </c>
      <c r="E28" s="40">
        <v>1694</v>
      </c>
      <c r="F28" s="42">
        <v>1.4081463009143806</v>
      </c>
      <c r="G28" s="14">
        <v>1389</v>
      </c>
      <c r="H28" s="12">
        <v>139</v>
      </c>
      <c r="I28" s="12">
        <f t="shared" si="5"/>
        <v>1807</v>
      </c>
      <c r="J28" s="55">
        <f t="shared" si="0"/>
        <v>1.30093592512599</v>
      </c>
      <c r="K28" s="53">
        <v>3.7142857142857131</v>
      </c>
      <c r="L28" s="16">
        <f t="shared" si="1"/>
        <v>2.56</v>
      </c>
      <c r="M28" s="23">
        <f t="shared" si="2"/>
        <v>33.880000000000003</v>
      </c>
      <c r="N28" s="25">
        <f t="shared" si="3"/>
        <v>2.78</v>
      </c>
      <c r="O28" s="27">
        <f t="shared" si="4"/>
        <v>36.14</v>
      </c>
      <c r="P28" s="28"/>
      <c r="Q28" s="27"/>
      <c r="V28" s="41"/>
    </row>
    <row r="29" spans="2:22" ht="15.6" x14ac:dyDescent="0.3">
      <c r="B29" s="14">
        <v>27</v>
      </c>
      <c r="C29" s="39">
        <v>1276</v>
      </c>
      <c r="D29" s="39">
        <v>132</v>
      </c>
      <c r="E29" s="40">
        <v>1826</v>
      </c>
      <c r="F29" s="42">
        <v>1.4310344827586208</v>
      </c>
      <c r="G29" s="14">
        <v>1477</v>
      </c>
      <c r="H29" s="12">
        <v>145</v>
      </c>
      <c r="I29" s="12">
        <f t="shared" si="5"/>
        <v>1952</v>
      </c>
      <c r="J29" s="55">
        <f t="shared" si="0"/>
        <v>1.3215978334461747</v>
      </c>
      <c r="K29" s="53">
        <v>3.8571428571428559</v>
      </c>
      <c r="L29" s="16">
        <f t="shared" si="1"/>
        <v>2.64</v>
      </c>
      <c r="M29" s="23">
        <f t="shared" si="2"/>
        <v>36.520000000000003</v>
      </c>
      <c r="N29" s="25">
        <f t="shared" si="3"/>
        <v>2.9</v>
      </c>
      <c r="O29" s="27">
        <f t="shared" si="4"/>
        <v>39.04</v>
      </c>
      <c r="P29" s="28"/>
      <c r="Q29" s="27"/>
      <c r="V29" s="41"/>
    </row>
    <row r="30" spans="2:22" ht="15.6" x14ac:dyDescent="0.3">
      <c r="B30" s="14">
        <v>28</v>
      </c>
      <c r="C30" s="39">
        <v>1350</v>
      </c>
      <c r="D30" s="39">
        <v>136</v>
      </c>
      <c r="E30" s="40">
        <v>1962</v>
      </c>
      <c r="F30" s="42">
        <v>1.4533333333333334</v>
      </c>
      <c r="G30" s="14">
        <v>1567</v>
      </c>
      <c r="H30" s="12">
        <v>151</v>
      </c>
      <c r="I30" s="12">
        <f t="shared" si="5"/>
        <v>2103</v>
      </c>
      <c r="J30" s="55">
        <f t="shared" si="0"/>
        <v>1.3420548819400127</v>
      </c>
      <c r="K30" s="53">
        <v>3.9999999999999987</v>
      </c>
      <c r="L30" s="16">
        <f t="shared" si="1"/>
        <v>2.72</v>
      </c>
      <c r="M30" s="23">
        <f t="shared" si="2"/>
        <v>39.24</v>
      </c>
      <c r="N30" s="25">
        <f t="shared" si="3"/>
        <v>3.02</v>
      </c>
      <c r="O30" s="27">
        <f t="shared" si="4"/>
        <v>42.06</v>
      </c>
      <c r="P30" s="28"/>
      <c r="Q30" s="27"/>
      <c r="V30" s="41"/>
    </row>
    <row r="31" spans="2:22" ht="15.6" x14ac:dyDescent="0.3">
      <c r="B31" s="14">
        <v>29</v>
      </c>
      <c r="C31" s="39">
        <v>1427</v>
      </c>
      <c r="D31" s="39">
        <v>140</v>
      </c>
      <c r="E31" s="40">
        <v>2102</v>
      </c>
      <c r="F31" s="42">
        <v>1.4730203223545901</v>
      </c>
      <c r="G31" s="14">
        <v>1659</v>
      </c>
      <c r="H31" s="12">
        <v>156</v>
      </c>
      <c r="I31" s="12">
        <f t="shared" si="5"/>
        <v>2259</v>
      </c>
      <c r="J31" s="55">
        <f t="shared" si="0"/>
        <v>1.3616636528028934</v>
      </c>
      <c r="K31" s="53">
        <v>4.1428571428571415</v>
      </c>
      <c r="L31" s="16">
        <f t="shared" si="1"/>
        <v>2.8</v>
      </c>
      <c r="M31" s="23">
        <f t="shared" si="2"/>
        <v>42.04</v>
      </c>
      <c r="N31" s="25">
        <f t="shared" si="3"/>
        <v>3.12</v>
      </c>
      <c r="O31" s="27">
        <f t="shared" si="4"/>
        <v>45.18</v>
      </c>
      <c r="P31" s="28"/>
      <c r="Q31" s="27"/>
      <c r="V31" s="41"/>
    </row>
    <row r="32" spans="2:22" ht="15.6" x14ac:dyDescent="0.3">
      <c r="B32" s="14">
        <v>30</v>
      </c>
      <c r="C32" s="39">
        <v>1504</v>
      </c>
      <c r="D32" s="39">
        <v>144</v>
      </c>
      <c r="E32" s="40">
        <v>2246</v>
      </c>
      <c r="F32" s="42">
        <v>1.4933510638297873</v>
      </c>
      <c r="G32" s="14">
        <v>1752</v>
      </c>
      <c r="H32" s="12">
        <v>162</v>
      </c>
      <c r="I32" s="12">
        <f t="shared" si="5"/>
        <v>2421</v>
      </c>
      <c r="J32" s="55">
        <f t="shared" si="0"/>
        <v>1.3818493150684932</v>
      </c>
      <c r="K32" s="53">
        <v>4.2857142857142847</v>
      </c>
      <c r="L32" s="16">
        <f t="shared" si="1"/>
        <v>2.88</v>
      </c>
      <c r="M32" s="23">
        <f t="shared" si="2"/>
        <v>44.92</v>
      </c>
      <c r="N32" s="25">
        <f t="shared" si="3"/>
        <v>3.24</v>
      </c>
      <c r="O32" s="27">
        <f t="shared" si="4"/>
        <v>48.42</v>
      </c>
      <c r="P32" s="28"/>
      <c r="Q32" s="27"/>
      <c r="V32" s="41"/>
    </row>
    <row r="33" spans="2:22" ht="15.6" x14ac:dyDescent="0.3">
      <c r="B33" s="14">
        <v>31</v>
      </c>
      <c r="C33" s="39">
        <v>1582</v>
      </c>
      <c r="D33" s="39">
        <v>147</v>
      </c>
      <c r="E33" s="40">
        <v>2393</v>
      </c>
      <c r="F33" s="42">
        <v>1.5126422250316056</v>
      </c>
      <c r="G33" s="14">
        <v>1846</v>
      </c>
      <c r="H33" s="12">
        <v>168</v>
      </c>
      <c r="I33" s="12">
        <f t="shared" si="5"/>
        <v>2589</v>
      </c>
      <c r="J33" s="55">
        <f t="shared" si="0"/>
        <v>1.4024918743228603</v>
      </c>
      <c r="K33" s="53">
        <v>4.4285714285714279</v>
      </c>
      <c r="L33" s="16">
        <f t="shared" si="1"/>
        <v>2.94</v>
      </c>
      <c r="M33" s="23">
        <f t="shared" si="2"/>
        <v>47.86</v>
      </c>
      <c r="N33" s="25">
        <f t="shared" si="3"/>
        <v>3.36</v>
      </c>
      <c r="O33" s="27">
        <f t="shared" si="4"/>
        <v>51.78</v>
      </c>
      <c r="P33" s="28"/>
      <c r="Q33" s="27"/>
      <c r="V33" s="41"/>
    </row>
    <row r="34" spans="2:22" ht="15.6" x14ac:dyDescent="0.3">
      <c r="B34" s="14">
        <v>32</v>
      </c>
      <c r="C34" s="39">
        <v>1660</v>
      </c>
      <c r="D34" s="39">
        <v>151</v>
      </c>
      <c r="E34" s="40">
        <v>2544</v>
      </c>
      <c r="F34" s="42">
        <v>1.5325301204819277</v>
      </c>
      <c r="G34" s="14">
        <v>1941</v>
      </c>
      <c r="H34" s="12">
        <v>173</v>
      </c>
      <c r="I34" s="12">
        <f t="shared" si="5"/>
        <v>2762</v>
      </c>
      <c r="J34" s="55">
        <f t="shared" si="0"/>
        <v>1.4229778464708913</v>
      </c>
      <c r="K34" s="53">
        <v>4.5714285714285712</v>
      </c>
      <c r="L34" s="16">
        <f t="shared" si="1"/>
        <v>3.02</v>
      </c>
      <c r="M34" s="23">
        <f t="shared" si="2"/>
        <v>50.88</v>
      </c>
      <c r="N34" s="25">
        <f t="shared" si="3"/>
        <v>3.46</v>
      </c>
      <c r="O34" s="27">
        <f t="shared" si="4"/>
        <v>55.24</v>
      </c>
      <c r="P34" s="28"/>
      <c r="Q34" s="27"/>
      <c r="V34" s="41"/>
    </row>
    <row r="35" spans="2:22" ht="15.6" x14ac:dyDescent="0.3">
      <c r="B35" s="14">
        <v>33</v>
      </c>
      <c r="C35" s="39">
        <v>1739</v>
      </c>
      <c r="D35" s="39">
        <v>154</v>
      </c>
      <c r="E35" s="40">
        <v>2698</v>
      </c>
      <c r="F35" s="42">
        <v>1.5514663599769982</v>
      </c>
      <c r="G35" s="14">
        <v>2037</v>
      </c>
      <c r="H35" s="12">
        <v>178</v>
      </c>
      <c r="I35" s="12">
        <f t="shared" si="5"/>
        <v>2940</v>
      </c>
      <c r="J35" s="55">
        <f t="shared" si="0"/>
        <v>1.4432989690721649</v>
      </c>
      <c r="K35" s="53">
        <v>4.7142857142857144</v>
      </c>
      <c r="L35" s="16">
        <f t="shared" si="1"/>
        <v>3.08</v>
      </c>
      <c r="M35" s="23">
        <f t="shared" si="2"/>
        <v>53.96</v>
      </c>
      <c r="N35" s="25">
        <f t="shared" si="3"/>
        <v>3.56</v>
      </c>
      <c r="O35" s="27">
        <f t="shared" si="4"/>
        <v>58.8</v>
      </c>
      <c r="P35" s="28"/>
      <c r="Q35" s="27"/>
      <c r="V35" s="41"/>
    </row>
    <row r="36" spans="2:22" ht="15.6" x14ac:dyDescent="0.3">
      <c r="B36" s="14">
        <v>34</v>
      </c>
      <c r="C36" s="39">
        <v>1819</v>
      </c>
      <c r="D36" s="39">
        <v>158</v>
      </c>
      <c r="E36" s="40">
        <v>2856</v>
      </c>
      <c r="F36" s="42">
        <v>1.5700934579439252</v>
      </c>
      <c r="G36" s="14">
        <v>2134</v>
      </c>
      <c r="H36" s="12">
        <v>184</v>
      </c>
      <c r="I36" s="12">
        <f t="shared" si="5"/>
        <v>3124</v>
      </c>
      <c r="J36" s="55">
        <f t="shared" si="0"/>
        <v>1.4639175257731958</v>
      </c>
      <c r="K36" s="53">
        <v>4.8571428571428577</v>
      </c>
      <c r="L36" s="16">
        <f t="shared" si="1"/>
        <v>3.16</v>
      </c>
      <c r="M36" s="23">
        <f t="shared" si="2"/>
        <v>57.12</v>
      </c>
      <c r="N36" s="25">
        <f t="shared" si="3"/>
        <v>3.68</v>
      </c>
      <c r="O36" s="27">
        <f t="shared" si="4"/>
        <v>62.48</v>
      </c>
      <c r="P36" s="28"/>
      <c r="Q36" s="27"/>
      <c r="V36" s="41"/>
    </row>
    <row r="37" spans="2:22" ht="15.6" x14ac:dyDescent="0.3">
      <c r="B37" s="14">
        <v>35</v>
      </c>
      <c r="C37" s="39">
        <v>1900</v>
      </c>
      <c r="D37" s="39">
        <v>162</v>
      </c>
      <c r="E37" s="40">
        <v>3018</v>
      </c>
      <c r="F37" s="42">
        <v>1.588421052631579</v>
      </c>
      <c r="G37" s="14">
        <v>2231</v>
      </c>
      <c r="H37" s="12">
        <v>188</v>
      </c>
      <c r="I37" s="12">
        <f t="shared" si="5"/>
        <v>3312</v>
      </c>
      <c r="J37" s="55">
        <f t="shared" si="0"/>
        <v>1.4845360824742269</v>
      </c>
      <c r="K37" s="53">
        <v>5.0000000000000009</v>
      </c>
      <c r="L37" s="16">
        <f t="shared" si="1"/>
        <v>3.24</v>
      </c>
      <c r="M37" s="23">
        <f t="shared" si="2"/>
        <v>60.36</v>
      </c>
      <c r="N37" s="25">
        <f t="shared" si="3"/>
        <v>3.76</v>
      </c>
      <c r="O37" s="27">
        <f t="shared" si="4"/>
        <v>66.239999999999995</v>
      </c>
      <c r="P37" s="28"/>
      <c r="Q37" s="27"/>
      <c r="V37" s="41"/>
    </row>
    <row r="38" spans="2:22" ht="15.6" x14ac:dyDescent="0.3">
      <c r="K38" s="54"/>
      <c r="N38" s="43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51C9F-B5A8-4B81-9057-82691DB1FBFF}">
  <dimension ref="A1:I39"/>
  <sheetViews>
    <sheetView tabSelected="1" workbookViewId="0">
      <selection activeCell="H39" sqref="H39"/>
    </sheetView>
  </sheetViews>
  <sheetFormatPr defaultRowHeight="14.4" x14ac:dyDescent="0.3"/>
  <cols>
    <col min="1" max="1" width="12.6640625" customWidth="1"/>
    <col min="2" max="2" width="8.6640625" customWidth="1"/>
    <col min="3" max="3" width="14.109375" customWidth="1"/>
    <col min="4" max="5" width="15.44140625" customWidth="1"/>
    <col min="6" max="6" width="13.88671875" customWidth="1"/>
    <col min="7" max="7" width="13.44140625" customWidth="1"/>
    <col min="8" max="8" width="10.5546875" bestFit="1" customWidth="1"/>
  </cols>
  <sheetData>
    <row r="1" spans="1:9" ht="15.6" x14ac:dyDescent="0.3">
      <c r="A1" s="17" t="s">
        <v>32</v>
      </c>
      <c r="B1" s="15" t="s">
        <v>31</v>
      </c>
      <c r="C1" s="17" t="s">
        <v>35</v>
      </c>
      <c r="D1" s="17" t="s">
        <v>34</v>
      </c>
      <c r="E1" s="17"/>
      <c r="F1" s="18" t="s">
        <v>33</v>
      </c>
    </row>
    <row r="2" spans="1:9" ht="15.6" x14ac:dyDescent="0.3">
      <c r="A2" s="34">
        <v>44925</v>
      </c>
      <c r="B2" s="14">
        <v>0</v>
      </c>
      <c r="C2" s="16">
        <v>0</v>
      </c>
      <c r="D2" s="16">
        <v>0</v>
      </c>
      <c r="E2" s="16" t="s">
        <v>39</v>
      </c>
      <c r="F2" s="16" t="s">
        <v>40</v>
      </c>
    </row>
    <row r="3" spans="1:9" ht="15.6" x14ac:dyDescent="0.3">
      <c r="A3" s="34">
        <v>44926</v>
      </c>
      <c r="B3" s="14">
        <v>1</v>
      </c>
      <c r="C3" s="16">
        <f>15+13+25</f>
        <v>53</v>
      </c>
      <c r="D3" s="16">
        <v>0.85</v>
      </c>
      <c r="E3" s="53">
        <v>0.14285714285714285</v>
      </c>
      <c r="F3" s="16">
        <f>C3/28000*100</f>
        <v>0.18928571428571431</v>
      </c>
      <c r="G3">
        <f>4/28</f>
        <v>0.14285714285714285</v>
      </c>
      <c r="H3" s="36">
        <f>G3</f>
        <v>0.14285714285714285</v>
      </c>
    </row>
    <row r="4" spans="1:9" ht="15.6" x14ac:dyDescent="0.3">
      <c r="A4" s="34">
        <v>44562</v>
      </c>
      <c r="B4" s="14">
        <v>2</v>
      </c>
      <c r="C4" s="16">
        <f>C3+25+27+28</f>
        <v>133</v>
      </c>
      <c r="D4" s="16">
        <v>0.85</v>
      </c>
      <c r="E4" s="53">
        <v>0.2857142857142857</v>
      </c>
      <c r="F4" s="16">
        <f>C4/28000*100</f>
        <v>0.47499999999999998</v>
      </c>
      <c r="G4">
        <f t="shared" ref="G4:G38" si="0">4/28</f>
        <v>0.14285714285714285</v>
      </c>
      <c r="H4" s="36">
        <f>H3+G4</f>
        <v>0.2857142857142857</v>
      </c>
    </row>
    <row r="5" spans="1:9" ht="15.6" x14ac:dyDescent="0.3">
      <c r="A5" s="34">
        <v>44563</v>
      </c>
      <c r="B5" s="14">
        <v>3</v>
      </c>
      <c r="C5" s="16">
        <f>C4+30+29+27</f>
        <v>219</v>
      </c>
      <c r="D5" s="16">
        <v>0.85</v>
      </c>
      <c r="E5" s="53">
        <v>0.42857142857142855</v>
      </c>
      <c r="F5" s="16">
        <f>C5/28000*100</f>
        <v>0.78214285714285714</v>
      </c>
      <c r="G5">
        <f t="shared" si="0"/>
        <v>0.14285714285714285</v>
      </c>
      <c r="H5" s="36">
        <f>H4+G5</f>
        <v>0.42857142857142855</v>
      </c>
    </row>
    <row r="6" spans="1:9" ht="15.6" x14ac:dyDescent="0.3">
      <c r="A6" s="34">
        <v>44564</v>
      </c>
      <c r="B6" s="14">
        <v>4</v>
      </c>
      <c r="C6" s="16">
        <f>C5+29+26+24</f>
        <v>298</v>
      </c>
      <c r="D6" s="16">
        <v>0.85</v>
      </c>
      <c r="E6" s="53">
        <v>0.5714285714285714</v>
      </c>
      <c r="F6" s="16">
        <f>C6/28000*100</f>
        <v>1.0642857142857143</v>
      </c>
      <c r="G6">
        <f t="shared" si="0"/>
        <v>0.14285714285714285</v>
      </c>
      <c r="H6" s="36">
        <f t="shared" ref="E6:H39" si="1">H5+G6</f>
        <v>0.5714285714285714</v>
      </c>
    </row>
    <row r="7" spans="1:9" ht="15.6" x14ac:dyDescent="0.3">
      <c r="A7" s="34">
        <v>44565</v>
      </c>
      <c r="B7" s="14">
        <v>5</v>
      </c>
      <c r="C7" s="16">
        <f>C6+33+28+35</f>
        <v>394</v>
      </c>
      <c r="D7" s="16">
        <v>0.85</v>
      </c>
      <c r="E7" s="53">
        <v>0.71428571428571419</v>
      </c>
      <c r="F7" s="16">
        <f>C7/28000*100</f>
        <v>1.4071428571428573</v>
      </c>
      <c r="G7">
        <f t="shared" si="0"/>
        <v>0.14285714285714285</v>
      </c>
      <c r="H7" s="36">
        <f t="shared" si="1"/>
        <v>0.71428571428571419</v>
      </c>
    </row>
    <row r="8" spans="1:9" ht="15.6" x14ac:dyDescent="0.3">
      <c r="A8" s="34">
        <v>44566</v>
      </c>
      <c r="B8" s="14">
        <v>6</v>
      </c>
      <c r="C8" s="16">
        <f>C7+24+28+29</f>
        <v>475</v>
      </c>
      <c r="D8" s="16">
        <v>0.85</v>
      </c>
      <c r="E8" s="53">
        <v>0.85714285714285698</v>
      </c>
      <c r="F8" s="16">
        <f>C8/28000*100</f>
        <v>1.6964285714285714</v>
      </c>
      <c r="G8">
        <f t="shared" si="0"/>
        <v>0.14285714285714285</v>
      </c>
      <c r="H8" s="36">
        <f t="shared" si="1"/>
        <v>0.85714285714285698</v>
      </c>
    </row>
    <row r="9" spans="1:9" ht="15.6" x14ac:dyDescent="0.3">
      <c r="A9" s="34">
        <v>44567</v>
      </c>
      <c r="B9" s="14">
        <v>7</v>
      </c>
      <c r="C9" s="16">
        <f>C8+(28+26+21)</f>
        <v>550</v>
      </c>
      <c r="D9" s="16">
        <v>0.85</v>
      </c>
      <c r="E9" s="53">
        <v>0.99999999999999978</v>
      </c>
      <c r="F9" s="16">
        <f>C9/28000*100</f>
        <v>1.9642857142857142</v>
      </c>
      <c r="G9">
        <f t="shared" si="0"/>
        <v>0.14285714285714285</v>
      </c>
      <c r="H9" s="36">
        <f t="shared" si="1"/>
        <v>0.99999999999999978</v>
      </c>
      <c r="I9" s="19"/>
    </row>
    <row r="10" spans="1:9" ht="15.6" x14ac:dyDescent="0.3">
      <c r="A10" s="34">
        <v>44568</v>
      </c>
      <c r="B10" s="14">
        <v>8</v>
      </c>
      <c r="C10" s="16">
        <f>C9+32+27+25</f>
        <v>634</v>
      </c>
      <c r="D10" s="16">
        <v>0.85</v>
      </c>
      <c r="E10" s="53">
        <v>1.1428571428571426</v>
      </c>
      <c r="F10" s="16">
        <f>C10/28000*100</f>
        <v>2.2642857142857142</v>
      </c>
      <c r="G10">
        <f t="shared" si="0"/>
        <v>0.14285714285714285</v>
      </c>
      <c r="H10" s="36">
        <f t="shared" si="1"/>
        <v>1.1428571428571426</v>
      </c>
    </row>
    <row r="11" spans="1:9" ht="15.6" x14ac:dyDescent="0.3">
      <c r="A11" s="34">
        <v>44569</v>
      </c>
      <c r="B11" s="14">
        <v>9</v>
      </c>
      <c r="C11" s="16">
        <f>C10+35+22+23</f>
        <v>714</v>
      </c>
      <c r="D11" s="16">
        <v>1.7</v>
      </c>
      <c r="E11" s="53">
        <v>1.2857142857142854</v>
      </c>
      <c r="F11" s="16">
        <f>C11/28000*100</f>
        <v>2.5499999999999998</v>
      </c>
      <c r="G11">
        <f t="shared" si="0"/>
        <v>0.14285714285714285</v>
      </c>
      <c r="H11" s="36">
        <f t="shared" si="1"/>
        <v>1.2857142857142854</v>
      </c>
    </row>
    <row r="12" spans="1:9" ht="15.6" x14ac:dyDescent="0.3">
      <c r="A12" s="34">
        <v>44570</v>
      </c>
      <c r="B12" s="14">
        <v>10</v>
      </c>
      <c r="C12" s="16">
        <f>C11+26+18+24</f>
        <v>782</v>
      </c>
      <c r="D12" s="16">
        <v>1.7</v>
      </c>
      <c r="E12" s="53">
        <v>1.4285714285714282</v>
      </c>
      <c r="F12" s="16">
        <f>C12/28000*100</f>
        <v>2.7928571428571427</v>
      </c>
      <c r="G12">
        <f t="shared" si="0"/>
        <v>0.14285714285714285</v>
      </c>
      <c r="H12" s="36">
        <f t="shared" si="1"/>
        <v>1.4285714285714282</v>
      </c>
    </row>
    <row r="13" spans="1:9" ht="15.6" x14ac:dyDescent="0.3">
      <c r="A13" s="34">
        <v>44571</v>
      </c>
      <c r="B13" s="14">
        <v>11</v>
      </c>
      <c r="C13" s="16">
        <f>C12+31+21+23</f>
        <v>857</v>
      </c>
      <c r="D13" s="16">
        <v>1.7</v>
      </c>
      <c r="E13" s="53">
        <v>1.571428571428571</v>
      </c>
      <c r="F13" s="16">
        <f>C13/28000*100</f>
        <v>3.0607142857142855</v>
      </c>
      <c r="G13">
        <f t="shared" si="0"/>
        <v>0.14285714285714285</v>
      </c>
      <c r="H13" s="36">
        <f t="shared" si="1"/>
        <v>1.571428571428571</v>
      </c>
    </row>
    <row r="14" spans="1:9" ht="15.6" x14ac:dyDescent="0.3">
      <c r="A14" s="34">
        <v>44572</v>
      </c>
      <c r="B14" s="14">
        <v>12</v>
      </c>
      <c r="C14" s="16">
        <f>C13+30+25+30</f>
        <v>942</v>
      </c>
      <c r="D14" s="16">
        <v>1.7</v>
      </c>
      <c r="E14" s="53">
        <v>1.7142857142857137</v>
      </c>
      <c r="F14" s="16">
        <f>C14/28000*100</f>
        <v>3.3642857142857139</v>
      </c>
      <c r="G14">
        <f t="shared" si="0"/>
        <v>0.14285714285714285</v>
      </c>
      <c r="H14" s="36">
        <f t="shared" si="1"/>
        <v>1.7142857142857137</v>
      </c>
    </row>
    <row r="15" spans="1:9" ht="15.6" x14ac:dyDescent="0.3">
      <c r="A15" s="34">
        <v>44573</v>
      </c>
      <c r="B15" s="14">
        <v>13</v>
      </c>
      <c r="C15" s="32">
        <f>C14+47+27+32</f>
        <v>1048</v>
      </c>
      <c r="D15" s="16">
        <v>1.7</v>
      </c>
      <c r="E15" s="53">
        <v>1.8571428571428565</v>
      </c>
      <c r="F15" s="16">
        <f>C15/28000*100</f>
        <v>3.7428571428571429</v>
      </c>
      <c r="G15">
        <f t="shared" si="0"/>
        <v>0.14285714285714285</v>
      </c>
      <c r="H15" s="36">
        <f t="shared" si="1"/>
        <v>1.8571428571428565</v>
      </c>
    </row>
    <row r="16" spans="1:9" ht="15.6" x14ac:dyDescent="0.3">
      <c r="A16" s="34">
        <v>44574</v>
      </c>
      <c r="B16" s="14">
        <v>14</v>
      </c>
      <c r="C16" s="32">
        <f>C15+36+29+30</f>
        <v>1143</v>
      </c>
      <c r="D16" s="16">
        <v>1.7</v>
      </c>
      <c r="E16" s="53">
        <v>1.9999999999999993</v>
      </c>
      <c r="F16" s="16">
        <f>C16/28000*100</f>
        <v>4.0821428571428573</v>
      </c>
      <c r="G16">
        <f t="shared" si="0"/>
        <v>0.14285714285714285</v>
      </c>
      <c r="H16" s="36">
        <f t="shared" si="1"/>
        <v>1.9999999999999993</v>
      </c>
    </row>
    <row r="17" spans="1:8" ht="15.6" x14ac:dyDescent="0.3">
      <c r="A17" s="34">
        <v>44575</v>
      </c>
      <c r="B17" s="14">
        <v>15</v>
      </c>
      <c r="C17" s="32">
        <f>C16+38+38+25</f>
        <v>1244</v>
      </c>
      <c r="D17" s="16">
        <v>1.7</v>
      </c>
      <c r="E17" s="53">
        <v>2.1428571428571423</v>
      </c>
      <c r="F17" s="16">
        <f>C17/28000*100</f>
        <v>4.4428571428571431</v>
      </c>
      <c r="G17">
        <f t="shared" si="0"/>
        <v>0.14285714285714285</v>
      </c>
      <c r="H17" s="36">
        <f t="shared" si="1"/>
        <v>2.1428571428571423</v>
      </c>
    </row>
    <row r="18" spans="1:8" ht="15.6" x14ac:dyDescent="0.3">
      <c r="A18" s="34">
        <v>44576</v>
      </c>
      <c r="B18" s="14">
        <v>16</v>
      </c>
      <c r="C18" s="32">
        <f>C17+28+23+26</f>
        <v>1321</v>
      </c>
      <c r="D18" s="16">
        <v>2.5</v>
      </c>
      <c r="E18" s="53">
        <v>2.2857142857142851</v>
      </c>
      <c r="F18" s="16">
        <f>C18/28000*100</f>
        <v>4.7178571428571434</v>
      </c>
      <c r="G18">
        <f t="shared" si="0"/>
        <v>0.14285714285714285</v>
      </c>
      <c r="H18" s="36">
        <f t="shared" si="1"/>
        <v>2.2857142857142851</v>
      </c>
    </row>
    <row r="19" spans="1:8" ht="15.6" x14ac:dyDescent="0.3">
      <c r="A19" s="34">
        <v>44577</v>
      </c>
      <c r="B19" s="14">
        <v>17</v>
      </c>
      <c r="C19" s="32">
        <f>C18+51+48+54</f>
        <v>1474</v>
      </c>
      <c r="D19" s="16">
        <v>2.5</v>
      </c>
      <c r="E19" s="53">
        <v>2.4285714285714279</v>
      </c>
      <c r="F19" s="16">
        <f>C19/28000*100</f>
        <v>5.2642857142857142</v>
      </c>
      <c r="G19">
        <f t="shared" si="0"/>
        <v>0.14285714285714285</v>
      </c>
      <c r="H19" s="36">
        <f t="shared" si="1"/>
        <v>2.4285714285714279</v>
      </c>
    </row>
    <row r="20" spans="1:8" ht="15.6" x14ac:dyDescent="0.3">
      <c r="A20" s="34">
        <v>44578</v>
      </c>
      <c r="B20" s="14">
        <v>18</v>
      </c>
      <c r="C20" s="32">
        <f>C19+55+43+46</f>
        <v>1618</v>
      </c>
      <c r="D20" s="16">
        <v>2.5</v>
      </c>
      <c r="E20" s="53">
        <v>2.5714285714285707</v>
      </c>
      <c r="F20" s="16">
        <f>C20/28000*100</f>
        <v>5.7785714285714285</v>
      </c>
      <c r="G20">
        <f t="shared" si="0"/>
        <v>0.14285714285714285</v>
      </c>
      <c r="H20" s="36">
        <f t="shared" si="1"/>
        <v>2.5714285714285707</v>
      </c>
    </row>
    <row r="21" spans="1:8" ht="15.6" x14ac:dyDescent="0.3">
      <c r="A21" s="34">
        <v>44579</v>
      </c>
      <c r="B21" s="14">
        <v>19</v>
      </c>
      <c r="C21" s="32">
        <f>C20+48+33+28</f>
        <v>1727</v>
      </c>
      <c r="D21" s="16">
        <v>2.5</v>
      </c>
      <c r="E21" s="53">
        <v>2.7142857142857135</v>
      </c>
      <c r="F21" s="16">
        <f>C21/28000*100</f>
        <v>6.1678571428571427</v>
      </c>
      <c r="G21">
        <f t="shared" si="0"/>
        <v>0.14285714285714285</v>
      </c>
      <c r="H21" s="36">
        <f t="shared" si="1"/>
        <v>2.7142857142857135</v>
      </c>
    </row>
    <row r="22" spans="1:8" ht="15.6" x14ac:dyDescent="0.3">
      <c r="A22" s="34">
        <v>44580</v>
      </c>
      <c r="B22" s="14">
        <v>20</v>
      </c>
      <c r="C22" s="32">
        <f>C21+27+24+26</f>
        <v>1804</v>
      </c>
      <c r="D22" s="16">
        <v>2.5</v>
      </c>
      <c r="E22" s="53">
        <v>2.8571428571428563</v>
      </c>
      <c r="F22" s="16">
        <f>C22/28000*100</f>
        <v>6.4428571428571431</v>
      </c>
      <c r="G22">
        <f t="shared" si="0"/>
        <v>0.14285714285714285</v>
      </c>
      <c r="H22" s="36">
        <f t="shared" si="1"/>
        <v>2.8571428571428563</v>
      </c>
    </row>
    <row r="23" spans="1:8" ht="15.6" x14ac:dyDescent="0.3">
      <c r="A23" s="34">
        <v>44581</v>
      </c>
      <c r="B23" s="14">
        <v>21</v>
      </c>
      <c r="C23" s="32">
        <f>598+581+766</f>
        <v>1945</v>
      </c>
      <c r="D23" s="16">
        <v>2.5</v>
      </c>
      <c r="E23" s="53">
        <v>2.9999999999999991</v>
      </c>
      <c r="F23" s="16">
        <f>C23/28000*100</f>
        <v>6.9464285714285712</v>
      </c>
      <c r="G23">
        <f t="shared" si="0"/>
        <v>0.14285714285714285</v>
      </c>
      <c r="H23" s="36">
        <f t="shared" si="1"/>
        <v>2.9999999999999991</v>
      </c>
    </row>
    <row r="24" spans="1:8" ht="15.6" x14ac:dyDescent="0.3">
      <c r="A24" s="34">
        <v>44582</v>
      </c>
      <c r="B24" s="14">
        <v>22</v>
      </c>
      <c r="C24" s="32">
        <f>614+590+779</f>
        <v>1983</v>
      </c>
      <c r="D24" s="16">
        <v>2.5</v>
      </c>
      <c r="E24" s="53">
        <v>3.1428571428571419</v>
      </c>
      <c r="F24" s="16">
        <f>C24/28000*100</f>
        <v>7.0821428571428573</v>
      </c>
      <c r="G24">
        <f t="shared" si="0"/>
        <v>0.14285714285714285</v>
      </c>
      <c r="H24" s="36">
        <f t="shared" si="1"/>
        <v>3.1428571428571419</v>
      </c>
    </row>
    <row r="25" spans="1:8" ht="15.6" x14ac:dyDescent="0.3">
      <c r="A25" s="34">
        <v>44583</v>
      </c>
      <c r="B25" s="14">
        <v>23</v>
      </c>
      <c r="C25" s="32">
        <f>627+604+790</f>
        <v>2021</v>
      </c>
      <c r="D25" s="16">
        <v>3.5</v>
      </c>
      <c r="E25" s="53">
        <v>3.2857142857142847</v>
      </c>
      <c r="F25" s="16">
        <f>C25/28000*100</f>
        <v>7.2178571428571425</v>
      </c>
      <c r="G25">
        <f t="shared" si="0"/>
        <v>0.14285714285714285</v>
      </c>
      <c r="H25" s="36">
        <f t="shared" si="1"/>
        <v>3.2857142857142847</v>
      </c>
    </row>
    <row r="26" spans="1:8" ht="15.6" x14ac:dyDescent="0.3">
      <c r="A26" s="34">
        <v>44584</v>
      </c>
      <c r="B26" s="14">
        <v>24</v>
      </c>
      <c r="C26" s="32">
        <f>645+615+803</f>
        <v>2063</v>
      </c>
      <c r="D26" s="16">
        <v>3.5</v>
      </c>
      <c r="E26" s="53">
        <v>3.4285714285714275</v>
      </c>
      <c r="F26" s="16">
        <f>C26/28000*100</f>
        <v>7.3678571428571429</v>
      </c>
      <c r="G26">
        <f t="shared" si="0"/>
        <v>0.14285714285714285</v>
      </c>
      <c r="H26" s="36">
        <f t="shared" si="1"/>
        <v>3.4285714285714275</v>
      </c>
    </row>
    <row r="27" spans="1:8" ht="15.6" x14ac:dyDescent="0.3">
      <c r="A27" s="34">
        <v>44585</v>
      </c>
      <c r="B27" s="14">
        <v>25</v>
      </c>
      <c r="C27" s="32">
        <f>669+632+825</f>
        <v>2126</v>
      </c>
      <c r="D27" s="16">
        <v>3.5</v>
      </c>
      <c r="E27" s="53">
        <v>3.5714285714285703</v>
      </c>
      <c r="F27" s="16">
        <f>C27/28000*100</f>
        <v>7.5928571428571425</v>
      </c>
      <c r="G27">
        <f t="shared" si="0"/>
        <v>0.14285714285714285</v>
      </c>
      <c r="H27" s="36">
        <f t="shared" si="1"/>
        <v>3.5714285714285703</v>
      </c>
    </row>
    <row r="28" spans="1:8" ht="15.6" x14ac:dyDescent="0.3">
      <c r="A28" s="34">
        <v>44586</v>
      </c>
      <c r="B28" s="14">
        <v>26</v>
      </c>
      <c r="C28" s="32">
        <f>681+645+840</f>
        <v>2166</v>
      </c>
      <c r="D28" s="16">
        <v>3.5</v>
      </c>
      <c r="E28" s="53">
        <v>3.7142857142857131</v>
      </c>
      <c r="F28" s="16">
        <f>C28/28000*100</f>
        <v>7.7357142857142858</v>
      </c>
      <c r="G28">
        <f t="shared" si="0"/>
        <v>0.14285714285714285</v>
      </c>
      <c r="H28" s="36">
        <f t="shared" si="1"/>
        <v>3.7142857142857131</v>
      </c>
    </row>
    <row r="29" spans="1:8" ht="15.6" x14ac:dyDescent="0.3">
      <c r="A29" s="34">
        <v>44587</v>
      </c>
      <c r="B29" s="14">
        <v>27</v>
      </c>
      <c r="C29" s="32">
        <f>703+661+858</f>
        <v>2222</v>
      </c>
      <c r="D29" s="16">
        <v>3.5</v>
      </c>
      <c r="E29" s="53">
        <v>3.8571428571428559</v>
      </c>
      <c r="F29" s="16">
        <f>C29/28000*100</f>
        <v>7.9357142857142859</v>
      </c>
      <c r="G29">
        <f t="shared" si="0"/>
        <v>0.14285714285714285</v>
      </c>
      <c r="H29" s="36">
        <f t="shared" si="1"/>
        <v>3.8571428571428559</v>
      </c>
    </row>
    <row r="30" spans="1:8" ht="15.6" x14ac:dyDescent="0.3">
      <c r="A30" s="34">
        <v>44588</v>
      </c>
      <c r="B30" s="14">
        <v>28</v>
      </c>
      <c r="C30" s="32">
        <f>719+674+869</f>
        <v>2262</v>
      </c>
      <c r="D30" s="16">
        <v>3.5</v>
      </c>
      <c r="E30" s="53">
        <v>3.9999999999999987</v>
      </c>
      <c r="F30" s="16">
        <f>C30/28000*100</f>
        <v>8.0785714285714274</v>
      </c>
      <c r="G30">
        <f t="shared" si="0"/>
        <v>0.14285714285714285</v>
      </c>
      <c r="H30" s="36">
        <f t="shared" si="1"/>
        <v>3.9999999999999987</v>
      </c>
    </row>
    <row r="31" spans="1:8" ht="15.6" x14ac:dyDescent="0.3">
      <c r="A31" s="34">
        <v>44589</v>
      </c>
      <c r="B31" s="14">
        <v>29</v>
      </c>
      <c r="C31" s="32">
        <f>749+706+903</f>
        <v>2358</v>
      </c>
      <c r="D31" s="16">
        <v>3.5</v>
      </c>
      <c r="E31" s="53">
        <v>4.1428571428571415</v>
      </c>
      <c r="F31" s="16">
        <f>C31/28000*100</f>
        <v>8.4214285714285708</v>
      </c>
      <c r="G31">
        <f t="shared" si="0"/>
        <v>0.14285714285714285</v>
      </c>
      <c r="H31" s="36">
        <f t="shared" si="1"/>
        <v>4.1428571428571415</v>
      </c>
    </row>
    <row r="32" spans="1:8" ht="15.6" x14ac:dyDescent="0.3">
      <c r="A32" s="34">
        <v>44590</v>
      </c>
      <c r="B32" s="14">
        <v>30</v>
      </c>
      <c r="C32" s="32">
        <f>768+734+939</f>
        <v>2441</v>
      </c>
      <c r="D32" s="16">
        <v>4</v>
      </c>
      <c r="E32" s="53">
        <v>4.2857142857142847</v>
      </c>
      <c r="F32" s="16">
        <f>C32/28000*100</f>
        <v>8.7178571428571416</v>
      </c>
      <c r="G32">
        <f t="shared" si="0"/>
        <v>0.14285714285714285</v>
      </c>
      <c r="H32" s="36">
        <f t="shared" si="1"/>
        <v>4.2857142857142847</v>
      </c>
    </row>
    <row r="33" spans="1:8" ht="15.6" x14ac:dyDescent="0.3">
      <c r="A33" s="34">
        <v>44591</v>
      </c>
      <c r="B33" s="14">
        <v>31</v>
      </c>
      <c r="C33" s="32">
        <f>794+756+963</f>
        <v>2513</v>
      </c>
      <c r="D33" s="16">
        <v>4</v>
      </c>
      <c r="E33" s="53">
        <v>4.4285714285714279</v>
      </c>
      <c r="F33" s="16">
        <f>C33/28000*100</f>
        <v>8.9749999999999996</v>
      </c>
      <c r="G33">
        <f t="shared" si="0"/>
        <v>0.14285714285714285</v>
      </c>
      <c r="H33" s="36">
        <f t="shared" si="1"/>
        <v>4.4285714285714279</v>
      </c>
    </row>
    <row r="34" spans="1:8" ht="15.6" x14ac:dyDescent="0.3">
      <c r="A34" s="34">
        <v>44592</v>
      </c>
      <c r="B34" s="14">
        <v>32</v>
      </c>
      <c r="C34" s="32">
        <f>823+786+1002</f>
        <v>2611</v>
      </c>
      <c r="D34" s="16">
        <v>4</v>
      </c>
      <c r="E34" s="53">
        <v>4.5714285714285712</v>
      </c>
      <c r="F34" s="16">
        <f>C34/28000*100</f>
        <v>9.3249999999999993</v>
      </c>
      <c r="G34">
        <f t="shared" si="0"/>
        <v>0.14285714285714285</v>
      </c>
      <c r="H34" s="36">
        <f t="shared" si="1"/>
        <v>4.5714285714285712</v>
      </c>
    </row>
    <row r="35" spans="1:8" ht="15.6" x14ac:dyDescent="0.3">
      <c r="A35" s="34">
        <v>44593</v>
      </c>
      <c r="B35" s="14">
        <v>33</v>
      </c>
      <c r="C35" s="32">
        <f>848+802+1042</f>
        <v>2692</v>
      </c>
      <c r="D35" s="16">
        <v>4</v>
      </c>
      <c r="E35" s="53">
        <v>4.7142857142857144</v>
      </c>
      <c r="F35" s="16">
        <f>C35/28000*100</f>
        <v>9.6142857142857139</v>
      </c>
      <c r="G35">
        <f t="shared" si="0"/>
        <v>0.14285714285714285</v>
      </c>
      <c r="H35" s="36">
        <f t="shared" si="1"/>
        <v>4.7142857142857144</v>
      </c>
    </row>
    <row r="36" spans="1:8" ht="15.6" x14ac:dyDescent="0.3">
      <c r="A36" s="34">
        <v>44594</v>
      </c>
      <c r="B36" s="14">
        <v>34</v>
      </c>
      <c r="C36" s="32">
        <f>875+831+1072</f>
        <v>2778</v>
      </c>
      <c r="D36" s="16">
        <v>4</v>
      </c>
      <c r="E36" s="53">
        <v>4.8571428571428577</v>
      </c>
      <c r="F36" s="16">
        <f>C36/28000*100</f>
        <v>9.9214285714285708</v>
      </c>
      <c r="G36">
        <f t="shared" si="0"/>
        <v>0.14285714285714285</v>
      </c>
      <c r="H36" s="36">
        <f t="shared" si="1"/>
        <v>4.8571428571428577</v>
      </c>
    </row>
    <row r="37" spans="1:8" ht="15.6" x14ac:dyDescent="0.3">
      <c r="A37" s="34">
        <v>44595</v>
      </c>
      <c r="B37" s="12">
        <v>35</v>
      </c>
      <c r="C37" s="32">
        <f>C36+90</f>
        <v>2868</v>
      </c>
      <c r="D37" s="16"/>
      <c r="E37" s="53">
        <v>5.0000000000000009</v>
      </c>
      <c r="F37" s="16">
        <f>C37/28000*100</f>
        <v>10.242857142857142</v>
      </c>
      <c r="G37">
        <f t="shared" si="0"/>
        <v>0.14285714285714285</v>
      </c>
      <c r="H37" s="36">
        <f t="shared" si="1"/>
        <v>5.0000000000000009</v>
      </c>
    </row>
    <row r="38" spans="1:8" ht="15.6" x14ac:dyDescent="0.3">
      <c r="B38" s="16"/>
      <c r="C38" s="32">
        <f>C37+90</f>
        <v>2958</v>
      </c>
      <c r="D38" s="16"/>
      <c r="E38" s="16"/>
      <c r="F38" s="16">
        <f>C38/28000*100</f>
        <v>10.564285714285715</v>
      </c>
      <c r="G38">
        <f t="shared" si="0"/>
        <v>0.14285714285714285</v>
      </c>
      <c r="H38" s="36">
        <f t="shared" si="1"/>
        <v>5.1428571428571441</v>
      </c>
    </row>
    <row r="39" spans="1:8" x14ac:dyDescent="0.3">
      <c r="H39" s="36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132BA-A7BD-42AB-8BD0-B5B80126F662}">
  <dimension ref="A1:D37"/>
  <sheetViews>
    <sheetView workbookViewId="0">
      <selection activeCell="H19" sqref="H19"/>
    </sheetView>
  </sheetViews>
  <sheetFormatPr defaultRowHeight="14.4" x14ac:dyDescent="0.3"/>
  <cols>
    <col min="2" max="2" width="11.5546875" customWidth="1"/>
  </cols>
  <sheetData>
    <row r="1" spans="1:4" ht="15.6" x14ac:dyDescent="0.3">
      <c r="A1" s="15" t="s">
        <v>31</v>
      </c>
      <c r="B1" s="15" t="s">
        <v>52</v>
      </c>
      <c r="C1" t="s">
        <v>29</v>
      </c>
      <c r="D1" t="s">
        <v>53</v>
      </c>
    </row>
    <row r="2" spans="1:4" ht="15.6" x14ac:dyDescent="0.3">
      <c r="A2" s="14">
        <v>0</v>
      </c>
      <c r="B2" s="14">
        <v>43</v>
      </c>
      <c r="C2">
        <v>0</v>
      </c>
      <c r="D2">
        <v>0</v>
      </c>
    </row>
    <row r="3" spans="1:4" ht="15.6" x14ac:dyDescent="0.3">
      <c r="A3" s="14">
        <v>1</v>
      </c>
      <c r="B3" s="14">
        <v>61</v>
      </c>
      <c r="C3">
        <f>B3-B2</f>
        <v>18</v>
      </c>
      <c r="D3">
        <v>15</v>
      </c>
    </row>
    <row r="4" spans="1:4" ht="15.6" x14ac:dyDescent="0.3">
      <c r="A4" s="14">
        <v>2</v>
      </c>
      <c r="B4" s="14">
        <v>79</v>
      </c>
      <c r="C4">
        <f t="shared" ref="C4:C37" si="0">B4-B3</f>
        <v>18</v>
      </c>
      <c r="D4">
        <v>16</v>
      </c>
    </row>
    <row r="5" spans="1:4" ht="15.6" x14ac:dyDescent="0.3">
      <c r="A5" s="14">
        <v>3</v>
      </c>
      <c r="B5" s="14">
        <v>99</v>
      </c>
      <c r="C5">
        <f t="shared" si="0"/>
        <v>20</v>
      </c>
      <c r="D5">
        <v>20</v>
      </c>
    </row>
    <row r="6" spans="1:4" ht="15.6" x14ac:dyDescent="0.3">
      <c r="A6" s="14">
        <v>4</v>
      </c>
      <c r="B6" s="14">
        <v>122</v>
      </c>
      <c r="C6">
        <f t="shared" si="0"/>
        <v>23</v>
      </c>
    </row>
    <row r="7" spans="1:4" ht="15.6" x14ac:dyDescent="0.3">
      <c r="A7" s="14">
        <v>5</v>
      </c>
      <c r="B7" s="14">
        <v>148</v>
      </c>
      <c r="C7">
        <f t="shared" si="0"/>
        <v>26</v>
      </c>
    </row>
    <row r="8" spans="1:4" ht="15.6" x14ac:dyDescent="0.3">
      <c r="A8" s="14">
        <v>6</v>
      </c>
      <c r="B8" s="14">
        <v>176</v>
      </c>
      <c r="C8">
        <f t="shared" si="0"/>
        <v>28</v>
      </c>
    </row>
    <row r="9" spans="1:4" ht="15.6" x14ac:dyDescent="0.3">
      <c r="A9" s="14">
        <v>7</v>
      </c>
      <c r="B9" s="14">
        <v>207</v>
      </c>
      <c r="C9">
        <f t="shared" si="0"/>
        <v>31</v>
      </c>
    </row>
    <row r="10" spans="1:4" ht="15.6" x14ac:dyDescent="0.3">
      <c r="A10" s="14">
        <v>8</v>
      </c>
      <c r="B10" s="14">
        <v>242</v>
      </c>
      <c r="C10">
        <f t="shared" si="0"/>
        <v>35</v>
      </c>
    </row>
    <row r="11" spans="1:4" ht="15.6" x14ac:dyDescent="0.3">
      <c r="A11" s="14">
        <v>9</v>
      </c>
      <c r="B11" s="14">
        <v>279</v>
      </c>
      <c r="C11">
        <f t="shared" si="0"/>
        <v>37</v>
      </c>
    </row>
    <row r="12" spans="1:4" ht="15.6" x14ac:dyDescent="0.3">
      <c r="A12" s="14">
        <v>10</v>
      </c>
      <c r="B12" s="14">
        <v>320</v>
      </c>
      <c r="C12">
        <f t="shared" si="0"/>
        <v>41</v>
      </c>
    </row>
    <row r="13" spans="1:4" ht="15.6" x14ac:dyDescent="0.3">
      <c r="A13" s="14">
        <v>11</v>
      </c>
      <c r="B13" s="14">
        <v>364</v>
      </c>
      <c r="C13">
        <f t="shared" si="0"/>
        <v>44</v>
      </c>
    </row>
    <row r="14" spans="1:4" ht="15.6" x14ac:dyDescent="0.3">
      <c r="A14" s="14">
        <v>12</v>
      </c>
      <c r="B14" s="14">
        <v>411</v>
      </c>
      <c r="C14">
        <f t="shared" si="0"/>
        <v>47</v>
      </c>
    </row>
    <row r="15" spans="1:4" ht="15.6" x14ac:dyDescent="0.3">
      <c r="A15" s="14">
        <v>13</v>
      </c>
      <c r="B15" s="14">
        <v>462</v>
      </c>
      <c r="C15">
        <f t="shared" si="0"/>
        <v>51</v>
      </c>
    </row>
    <row r="16" spans="1:4" ht="15.6" x14ac:dyDescent="0.3">
      <c r="A16" s="14">
        <v>14</v>
      </c>
      <c r="B16" s="14">
        <v>515</v>
      </c>
      <c r="C16">
        <f t="shared" si="0"/>
        <v>53</v>
      </c>
    </row>
    <row r="17" spans="1:3" ht="15.6" x14ac:dyDescent="0.3">
      <c r="A17" s="14">
        <v>15</v>
      </c>
      <c r="B17" s="14">
        <v>572</v>
      </c>
      <c r="C17">
        <f t="shared" si="0"/>
        <v>57</v>
      </c>
    </row>
    <row r="18" spans="1:3" ht="15.6" x14ac:dyDescent="0.3">
      <c r="A18" s="14">
        <v>16</v>
      </c>
      <c r="B18" s="14">
        <v>633</v>
      </c>
      <c r="C18">
        <f t="shared" si="0"/>
        <v>61</v>
      </c>
    </row>
    <row r="19" spans="1:3" ht="15.6" x14ac:dyDescent="0.3">
      <c r="A19" s="14">
        <v>17</v>
      </c>
      <c r="B19" s="14">
        <v>696</v>
      </c>
      <c r="C19">
        <f t="shared" si="0"/>
        <v>63</v>
      </c>
    </row>
    <row r="20" spans="1:3" ht="15.6" x14ac:dyDescent="0.3">
      <c r="A20" s="14">
        <v>18</v>
      </c>
      <c r="B20" s="14">
        <v>762</v>
      </c>
      <c r="C20">
        <f t="shared" si="0"/>
        <v>66</v>
      </c>
    </row>
    <row r="21" spans="1:3" ht="15.6" x14ac:dyDescent="0.3">
      <c r="A21" s="14">
        <v>19</v>
      </c>
      <c r="B21" s="14">
        <v>831</v>
      </c>
      <c r="C21">
        <f t="shared" si="0"/>
        <v>69</v>
      </c>
    </row>
    <row r="22" spans="1:3" ht="15.6" x14ac:dyDescent="0.3">
      <c r="A22" s="14">
        <v>20</v>
      </c>
      <c r="B22" s="14">
        <v>903</v>
      </c>
      <c r="C22">
        <f t="shared" si="0"/>
        <v>72</v>
      </c>
    </row>
    <row r="23" spans="1:3" ht="15.6" x14ac:dyDescent="0.3">
      <c r="A23" s="14">
        <v>21</v>
      </c>
      <c r="B23" s="14">
        <v>978</v>
      </c>
      <c r="C23">
        <f t="shared" si="0"/>
        <v>75</v>
      </c>
    </row>
    <row r="24" spans="1:3" ht="15.6" x14ac:dyDescent="0.3">
      <c r="A24" s="14">
        <v>22</v>
      </c>
      <c r="B24" s="14">
        <v>1056</v>
      </c>
      <c r="C24">
        <f t="shared" si="0"/>
        <v>78</v>
      </c>
    </row>
    <row r="25" spans="1:3" ht="15.6" x14ac:dyDescent="0.3">
      <c r="A25" s="14">
        <v>23</v>
      </c>
      <c r="B25" s="14">
        <v>1136</v>
      </c>
      <c r="C25">
        <f t="shared" si="0"/>
        <v>80</v>
      </c>
    </row>
    <row r="26" spans="1:3" ht="15.6" x14ac:dyDescent="0.3">
      <c r="A26" s="14">
        <v>24</v>
      </c>
      <c r="B26" s="14">
        <v>1218</v>
      </c>
      <c r="C26">
        <f t="shared" si="0"/>
        <v>82</v>
      </c>
    </row>
    <row r="27" spans="1:3" ht="15.6" x14ac:dyDescent="0.3">
      <c r="A27" s="14">
        <v>25</v>
      </c>
      <c r="B27" s="14">
        <v>1302</v>
      </c>
      <c r="C27">
        <f t="shared" si="0"/>
        <v>84</v>
      </c>
    </row>
    <row r="28" spans="1:3" ht="15.6" x14ac:dyDescent="0.3">
      <c r="A28" s="14">
        <v>26</v>
      </c>
      <c r="B28" s="14">
        <v>1389</v>
      </c>
      <c r="C28">
        <f t="shared" si="0"/>
        <v>87</v>
      </c>
    </row>
    <row r="29" spans="1:3" ht="15.6" x14ac:dyDescent="0.3">
      <c r="A29" s="14">
        <v>27</v>
      </c>
      <c r="B29" s="14">
        <v>1477</v>
      </c>
      <c r="C29">
        <f t="shared" si="0"/>
        <v>88</v>
      </c>
    </row>
    <row r="30" spans="1:3" ht="15.6" x14ac:dyDescent="0.3">
      <c r="A30" s="14">
        <v>28</v>
      </c>
      <c r="B30" s="14">
        <v>1567</v>
      </c>
      <c r="C30">
        <f t="shared" si="0"/>
        <v>90</v>
      </c>
    </row>
    <row r="31" spans="1:3" ht="15.6" x14ac:dyDescent="0.3">
      <c r="A31" s="14">
        <v>29</v>
      </c>
      <c r="B31" s="14">
        <v>1659</v>
      </c>
      <c r="C31">
        <f t="shared" si="0"/>
        <v>92</v>
      </c>
    </row>
    <row r="32" spans="1:3" ht="15.6" x14ac:dyDescent="0.3">
      <c r="A32" s="14">
        <v>30</v>
      </c>
      <c r="B32" s="14">
        <v>1752</v>
      </c>
      <c r="C32">
        <f t="shared" si="0"/>
        <v>93</v>
      </c>
    </row>
    <row r="33" spans="1:3" ht="15.6" x14ac:dyDescent="0.3">
      <c r="A33" s="14">
        <v>31</v>
      </c>
      <c r="B33" s="14">
        <v>1846</v>
      </c>
      <c r="C33">
        <f t="shared" si="0"/>
        <v>94</v>
      </c>
    </row>
    <row r="34" spans="1:3" ht="15.6" x14ac:dyDescent="0.3">
      <c r="A34" s="14">
        <v>32</v>
      </c>
      <c r="B34" s="14">
        <v>1941</v>
      </c>
      <c r="C34">
        <f t="shared" si="0"/>
        <v>95</v>
      </c>
    </row>
    <row r="35" spans="1:3" ht="15.6" x14ac:dyDescent="0.3">
      <c r="A35" s="14">
        <v>33</v>
      </c>
      <c r="B35" s="14">
        <v>2037</v>
      </c>
      <c r="C35">
        <f t="shared" si="0"/>
        <v>96</v>
      </c>
    </row>
    <row r="36" spans="1:3" ht="15.6" x14ac:dyDescent="0.3">
      <c r="A36" s="14">
        <v>34</v>
      </c>
      <c r="B36" s="14">
        <v>2134</v>
      </c>
      <c r="C36">
        <f t="shared" si="0"/>
        <v>97</v>
      </c>
    </row>
    <row r="37" spans="1:3" ht="15.6" x14ac:dyDescent="0.3">
      <c r="A37" s="12">
        <v>35</v>
      </c>
      <c r="B37" s="12">
        <v>2231</v>
      </c>
      <c r="C37">
        <f t="shared" si="0"/>
        <v>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BDE1-98E8-47A9-BBCA-C92165005FFA}">
  <dimension ref="A1:H37"/>
  <sheetViews>
    <sheetView workbookViewId="0">
      <selection activeCell="H27" sqref="H27"/>
    </sheetView>
  </sheetViews>
  <sheetFormatPr defaultRowHeight="14.4" x14ac:dyDescent="0.3"/>
  <cols>
    <col min="1" max="1" width="12.6640625" customWidth="1"/>
    <col min="3" max="3" width="13.6640625" customWidth="1"/>
    <col min="4" max="4" width="10.33203125" customWidth="1"/>
  </cols>
  <sheetData>
    <row r="1" spans="1:8" ht="15.6" x14ac:dyDescent="0.3">
      <c r="A1" s="17" t="s">
        <v>32</v>
      </c>
      <c r="B1" s="15" t="s">
        <v>31</v>
      </c>
      <c r="C1" s="15" t="s">
        <v>29</v>
      </c>
      <c r="D1" s="15" t="s">
        <v>30</v>
      </c>
    </row>
    <row r="2" spans="1:8" ht="15.6" x14ac:dyDescent="0.3">
      <c r="A2" s="34">
        <v>44925</v>
      </c>
      <c r="B2" s="14">
        <v>0</v>
      </c>
      <c r="C2" s="14">
        <v>43</v>
      </c>
      <c r="D2" s="13">
        <f>AVERAGE(E2:G2)</f>
        <v>39.333333333333336</v>
      </c>
      <c r="E2">
        <v>39</v>
      </c>
      <c r="F2">
        <v>39</v>
      </c>
      <c r="G2">
        <v>40</v>
      </c>
      <c r="H2">
        <f>AVERAGE(D2:G2)</f>
        <v>39.333333333333336</v>
      </c>
    </row>
    <row r="3" spans="1:8" ht="15.6" x14ac:dyDescent="0.3">
      <c r="A3" s="34">
        <v>44926</v>
      </c>
      <c r="B3" s="14">
        <v>1</v>
      </c>
      <c r="C3" s="14">
        <v>61</v>
      </c>
      <c r="D3" s="13">
        <f t="shared" ref="D3:D9" si="0">AVERAGE(E3:G3)</f>
        <v>56.666666666666664</v>
      </c>
      <c r="E3">
        <v>55</v>
      </c>
      <c r="F3">
        <v>55</v>
      </c>
      <c r="G3">
        <v>60</v>
      </c>
    </row>
    <row r="4" spans="1:8" ht="15.6" x14ac:dyDescent="0.3">
      <c r="A4" s="34">
        <v>44562</v>
      </c>
      <c r="B4" s="14">
        <v>2</v>
      </c>
      <c r="C4" s="14">
        <v>79</v>
      </c>
      <c r="D4" s="13">
        <f t="shared" si="0"/>
        <v>81.666666666666671</v>
      </c>
      <c r="E4">
        <v>80</v>
      </c>
      <c r="F4">
        <v>80</v>
      </c>
      <c r="G4">
        <v>85</v>
      </c>
    </row>
    <row r="5" spans="1:8" ht="15.6" x14ac:dyDescent="0.3">
      <c r="A5" s="34">
        <v>44563</v>
      </c>
      <c r="B5" s="14">
        <v>3</v>
      </c>
      <c r="C5" s="14">
        <v>99</v>
      </c>
      <c r="D5" s="13">
        <f t="shared" si="0"/>
        <v>100</v>
      </c>
      <c r="E5">
        <v>100</v>
      </c>
      <c r="F5">
        <v>100</v>
      </c>
      <c r="G5">
        <v>100</v>
      </c>
    </row>
    <row r="6" spans="1:8" ht="15.6" x14ac:dyDescent="0.3">
      <c r="A6" s="34">
        <v>44564</v>
      </c>
      <c r="B6" s="14">
        <v>4</v>
      </c>
      <c r="C6" s="14">
        <v>122</v>
      </c>
      <c r="D6" s="13">
        <f t="shared" si="0"/>
        <v>120</v>
      </c>
      <c r="E6">
        <v>120</v>
      </c>
      <c r="F6">
        <v>120</v>
      </c>
      <c r="G6">
        <v>120</v>
      </c>
    </row>
    <row r="7" spans="1:8" ht="15.6" x14ac:dyDescent="0.3">
      <c r="A7" s="34">
        <v>44565</v>
      </c>
      <c r="B7" s="14">
        <v>5</v>
      </c>
      <c r="C7" s="14">
        <v>148</v>
      </c>
      <c r="D7" s="13">
        <f t="shared" si="0"/>
        <v>140</v>
      </c>
      <c r="E7">
        <v>140</v>
      </c>
      <c r="F7">
        <v>140</v>
      </c>
      <c r="G7">
        <v>140</v>
      </c>
    </row>
    <row r="8" spans="1:8" ht="15.6" x14ac:dyDescent="0.3">
      <c r="A8" s="34">
        <v>44566</v>
      </c>
      <c r="B8" s="14">
        <v>6</v>
      </c>
      <c r="C8" s="14">
        <v>176</v>
      </c>
      <c r="D8" s="13">
        <f t="shared" si="0"/>
        <v>165</v>
      </c>
      <c r="E8">
        <v>170</v>
      </c>
      <c r="F8">
        <v>160</v>
      </c>
      <c r="G8">
        <v>165</v>
      </c>
    </row>
    <row r="9" spans="1:8" ht="15.6" x14ac:dyDescent="0.3">
      <c r="A9" s="34">
        <v>44567</v>
      </c>
      <c r="B9" s="14">
        <v>7</v>
      </c>
      <c r="C9" s="14">
        <v>207</v>
      </c>
      <c r="D9" s="13">
        <f t="shared" si="0"/>
        <v>188</v>
      </c>
      <c r="E9">
        <v>188</v>
      </c>
      <c r="F9">
        <v>186</v>
      </c>
      <c r="G9">
        <v>190</v>
      </c>
    </row>
    <row r="10" spans="1:8" ht="15.6" x14ac:dyDescent="0.3">
      <c r="A10" s="34">
        <v>44568</v>
      </c>
      <c r="B10" s="14">
        <v>8</v>
      </c>
      <c r="C10" s="14">
        <v>242</v>
      </c>
      <c r="D10" s="13"/>
    </row>
    <row r="11" spans="1:8" ht="15.6" x14ac:dyDescent="0.3">
      <c r="A11" s="34">
        <v>44569</v>
      </c>
      <c r="B11" s="14">
        <v>9</v>
      </c>
      <c r="C11" s="14">
        <v>279</v>
      </c>
      <c r="D11" s="13"/>
    </row>
    <row r="12" spans="1:8" ht="15.6" x14ac:dyDescent="0.3">
      <c r="A12" s="34">
        <v>44570</v>
      </c>
      <c r="B12" s="14">
        <v>10</v>
      </c>
      <c r="C12" s="14">
        <v>320</v>
      </c>
      <c r="D12" s="13"/>
    </row>
    <row r="13" spans="1:8" ht="15.6" x14ac:dyDescent="0.3">
      <c r="A13" s="34">
        <v>44571</v>
      </c>
      <c r="B13" s="14">
        <v>11</v>
      </c>
      <c r="C13" s="14">
        <v>364</v>
      </c>
      <c r="D13" s="13"/>
    </row>
    <row r="14" spans="1:8" ht="15.6" x14ac:dyDescent="0.3">
      <c r="A14" s="34">
        <v>44572</v>
      </c>
      <c r="B14" s="14">
        <v>12</v>
      </c>
      <c r="C14" s="14">
        <v>411</v>
      </c>
      <c r="D14" s="13"/>
    </row>
    <row r="15" spans="1:8" ht="15.6" x14ac:dyDescent="0.3">
      <c r="A15" s="34">
        <v>44573</v>
      </c>
      <c r="B15" s="14">
        <v>13</v>
      </c>
      <c r="C15" s="14">
        <v>462</v>
      </c>
      <c r="D15" s="13"/>
    </row>
    <row r="16" spans="1:8" ht="15.6" x14ac:dyDescent="0.3">
      <c r="A16" s="34">
        <v>44574</v>
      </c>
      <c r="B16" s="14">
        <v>14</v>
      </c>
      <c r="C16" s="14">
        <v>515</v>
      </c>
      <c r="D16" s="13"/>
    </row>
    <row r="17" spans="1:4" ht="15.6" x14ac:dyDescent="0.3">
      <c r="A17" s="34">
        <v>44575</v>
      </c>
      <c r="B17" s="14">
        <v>15</v>
      </c>
      <c r="C17" s="14">
        <v>572</v>
      </c>
      <c r="D17" s="13"/>
    </row>
    <row r="18" spans="1:4" ht="15.6" x14ac:dyDescent="0.3">
      <c r="A18" s="34">
        <v>44576</v>
      </c>
      <c r="B18" s="14">
        <v>16</v>
      </c>
      <c r="C18" s="14">
        <v>633</v>
      </c>
      <c r="D18" s="13"/>
    </row>
    <row r="19" spans="1:4" ht="15.6" x14ac:dyDescent="0.3">
      <c r="A19" s="34">
        <v>44577</v>
      </c>
      <c r="B19" s="14">
        <v>17</v>
      </c>
      <c r="C19" s="14">
        <v>696</v>
      </c>
      <c r="D19" s="13"/>
    </row>
    <row r="20" spans="1:4" ht="15.6" x14ac:dyDescent="0.3">
      <c r="A20" s="34">
        <v>44578</v>
      </c>
      <c r="B20" s="14">
        <v>18</v>
      </c>
      <c r="C20" s="14">
        <v>762</v>
      </c>
      <c r="D20" s="13"/>
    </row>
    <row r="21" spans="1:4" ht="15.6" x14ac:dyDescent="0.3">
      <c r="A21" s="34">
        <v>44579</v>
      </c>
      <c r="B21" s="14">
        <v>19</v>
      </c>
      <c r="C21" s="14">
        <v>831</v>
      </c>
      <c r="D21" s="13"/>
    </row>
    <row r="22" spans="1:4" ht="15.6" x14ac:dyDescent="0.3">
      <c r="A22" s="34">
        <v>44580</v>
      </c>
      <c r="B22" s="14">
        <v>20</v>
      </c>
      <c r="C22" s="14">
        <v>903</v>
      </c>
      <c r="D22" s="13"/>
    </row>
    <row r="23" spans="1:4" ht="15.6" x14ac:dyDescent="0.3">
      <c r="A23" s="34">
        <v>44581</v>
      </c>
      <c r="B23" s="14">
        <v>21</v>
      </c>
      <c r="C23" s="14">
        <v>978</v>
      </c>
      <c r="D23" s="13"/>
    </row>
    <row r="24" spans="1:4" ht="15.6" x14ac:dyDescent="0.3">
      <c r="A24" s="34">
        <v>44582</v>
      </c>
      <c r="B24" s="14">
        <v>22</v>
      </c>
      <c r="C24" s="14">
        <v>1056</v>
      </c>
      <c r="D24" s="13"/>
    </row>
    <row r="25" spans="1:4" ht="15.6" x14ac:dyDescent="0.3">
      <c r="A25" s="34">
        <v>44583</v>
      </c>
      <c r="B25" s="14">
        <v>23</v>
      </c>
      <c r="C25" s="14">
        <v>1136</v>
      </c>
      <c r="D25" s="13"/>
    </row>
    <row r="26" spans="1:4" ht="15.6" x14ac:dyDescent="0.3">
      <c r="A26" s="34">
        <v>44584</v>
      </c>
      <c r="B26" s="14">
        <v>24</v>
      </c>
      <c r="C26" s="14">
        <v>1218</v>
      </c>
      <c r="D26" s="13"/>
    </row>
    <row r="27" spans="1:4" ht="15.6" x14ac:dyDescent="0.3">
      <c r="A27" s="34">
        <v>44585</v>
      </c>
      <c r="B27" s="14">
        <v>25</v>
      </c>
      <c r="C27" s="14">
        <v>1302</v>
      </c>
      <c r="D27" s="13"/>
    </row>
    <row r="28" spans="1:4" ht="15.6" x14ac:dyDescent="0.3">
      <c r="A28" s="34">
        <v>44586</v>
      </c>
      <c r="B28" s="14">
        <v>26</v>
      </c>
      <c r="C28" s="14">
        <v>1389</v>
      </c>
      <c r="D28" s="13"/>
    </row>
    <row r="29" spans="1:4" ht="15.6" x14ac:dyDescent="0.3">
      <c r="A29" s="34">
        <v>44587</v>
      </c>
      <c r="B29" s="14">
        <v>27</v>
      </c>
      <c r="C29" s="14">
        <v>1477</v>
      </c>
      <c r="D29" s="13"/>
    </row>
    <row r="30" spans="1:4" ht="15.6" x14ac:dyDescent="0.3">
      <c r="A30" s="34">
        <v>44588</v>
      </c>
      <c r="B30" s="14">
        <v>28</v>
      </c>
      <c r="C30" s="14">
        <v>1567</v>
      </c>
      <c r="D30" s="13"/>
    </row>
    <row r="31" spans="1:4" ht="15.6" x14ac:dyDescent="0.3">
      <c r="A31" s="34">
        <v>44589</v>
      </c>
      <c r="B31" s="14">
        <v>29</v>
      </c>
      <c r="C31" s="14">
        <v>1659</v>
      </c>
      <c r="D31" s="13"/>
    </row>
    <row r="32" spans="1:4" ht="15.6" x14ac:dyDescent="0.3">
      <c r="A32" s="34">
        <v>44590</v>
      </c>
      <c r="B32" s="14">
        <v>30</v>
      </c>
      <c r="C32" s="14">
        <v>1752</v>
      </c>
      <c r="D32" s="13"/>
    </row>
    <row r="33" spans="1:4" ht="15.6" x14ac:dyDescent="0.3">
      <c r="A33" s="34">
        <v>44591</v>
      </c>
      <c r="B33" s="14">
        <v>31</v>
      </c>
      <c r="C33" s="14">
        <v>1846</v>
      </c>
      <c r="D33" s="13"/>
    </row>
    <row r="34" spans="1:4" ht="15.6" x14ac:dyDescent="0.3">
      <c r="A34" s="34">
        <v>44592</v>
      </c>
      <c r="B34" s="14">
        <v>32</v>
      </c>
      <c r="C34" s="14">
        <v>1941</v>
      </c>
      <c r="D34" s="13"/>
    </row>
    <row r="35" spans="1:4" ht="15.6" x14ac:dyDescent="0.3">
      <c r="A35" s="34">
        <v>44593</v>
      </c>
      <c r="B35" s="14">
        <v>33</v>
      </c>
      <c r="C35" s="14">
        <v>2037</v>
      </c>
      <c r="D35" s="13"/>
    </row>
    <row r="36" spans="1:4" ht="15.6" x14ac:dyDescent="0.3">
      <c r="A36" s="34">
        <v>44594</v>
      </c>
      <c r="B36" s="14">
        <v>34</v>
      </c>
      <c r="C36" s="14">
        <v>2134</v>
      </c>
      <c r="D36" s="13"/>
    </row>
    <row r="37" spans="1:4" ht="15.6" x14ac:dyDescent="0.3">
      <c r="A37" s="34">
        <v>44595</v>
      </c>
      <c r="B37" s="12">
        <v>35</v>
      </c>
      <c r="C37" s="12">
        <v>2231</v>
      </c>
      <c r="D37" s="13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0A0B4-191B-4DB4-8A42-B13C7A96540A}">
  <dimension ref="A1:F38"/>
  <sheetViews>
    <sheetView workbookViewId="0">
      <selection activeCell="D1" sqref="D1:D1048576"/>
    </sheetView>
  </sheetViews>
  <sheetFormatPr defaultRowHeight="14.4" x14ac:dyDescent="0.3"/>
  <cols>
    <col min="1" max="1" width="12.6640625" customWidth="1"/>
    <col min="3" max="3" width="12.44140625" customWidth="1"/>
  </cols>
  <sheetData>
    <row r="1" spans="1:6" ht="15.6" x14ac:dyDescent="0.3">
      <c r="A1" s="17" t="s">
        <v>32</v>
      </c>
      <c r="B1" s="11" t="s">
        <v>31</v>
      </c>
      <c r="C1" s="11" t="s">
        <v>29</v>
      </c>
      <c r="D1" s="11" t="s">
        <v>30</v>
      </c>
      <c r="F1" s="35" t="s">
        <v>36</v>
      </c>
    </row>
    <row r="2" spans="1:6" ht="15.6" x14ac:dyDescent="0.3">
      <c r="A2" s="34"/>
      <c r="B2" s="12">
        <v>0</v>
      </c>
      <c r="C2" s="12">
        <v>0</v>
      </c>
      <c r="D2" s="26"/>
      <c r="F2" s="20"/>
    </row>
    <row r="3" spans="1:6" ht="15.6" x14ac:dyDescent="0.3">
      <c r="A3" s="34"/>
      <c r="B3" s="12">
        <v>1</v>
      </c>
      <c r="C3" s="12">
        <v>13</v>
      </c>
      <c r="D3" s="27"/>
      <c r="F3" s="20"/>
    </row>
    <row r="4" spans="1:6" ht="15.6" x14ac:dyDescent="0.3">
      <c r="A4" s="34"/>
      <c r="B4" s="12">
        <v>2</v>
      </c>
      <c r="C4" s="12">
        <v>17</v>
      </c>
      <c r="D4" s="27"/>
      <c r="F4" s="20"/>
    </row>
    <row r="5" spans="1:6" ht="15.6" x14ac:dyDescent="0.3">
      <c r="A5" s="34"/>
      <c r="B5" s="12">
        <v>3</v>
      </c>
      <c r="C5" s="12">
        <v>21</v>
      </c>
      <c r="D5" s="27"/>
      <c r="F5" s="20"/>
    </row>
    <row r="6" spans="1:6" ht="15.6" x14ac:dyDescent="0.3">
      <c r="A6" s="34"/>
      <c r="B6" s="12">
        <v>4</v>
      </c>
      <c r="C6" s="12">
        <v>25</v>
      </c>
      <c r="D6" s="27"/>
      <c r="F6" s="20"/>
    </row>
    <row r="7" spans="1:6" ht="15.6" x14ac:dyDescent="0.3">
      <c r="A7" s="34"/>
      <c r="B7" s="12">
        <v>5</v>
      </c>
      <c r="C7" s="12">
        <v>28</v>
      </c>
      <c r="D7" s="27"/>
      <c r="F7" s="20"/>
    </row>
    <row r="8" spans="1:6" ht="15.6" x14ac:dyDescent="0.3">
      <c r="A8" s="34"/>
      <c r="B8" s="12">
        <v>6</v>
      </c>
      <c r="C8" s="12">
        <v>32</v>
      </c>
      <c r="D8" s="27"/>
      <c r="F8" s="20"/>
    </row>
    <row r="9" spans="1:6" ht="15.6" x14ac:dyDescent="0.3">
      <c r="A9" s="34"/>
      <c r="B9" s="12">
        <v>7</v>
      </c>
      <c r="C9" s="12">
        <v>36</v>
      </c>
      <c r="D9" s="27"/>
      <c r="E9">
        <v>23.51</v>
      </c>
      <c r="F9" s="20"/>
    </row>
    <row r="10" spans="1:6" ht="15.6" x14ac:dyDescent="0.3">
      <c r="A10" s="34"/>
      <c r="B10" s="12">
        <v>8</v>
      </c>
      <c r="C10" s="12">
        <v>40</v>
      </c>
      <c r="D10" s="27"/>
      <c r="F10" s="20"/>
    </row>
    <row r="11" spans="1:6" ht="15.6" x14ac:dyDescent="0.3">
      <c r="A11" s="34"/>
      <c r="B11" s="12">
        <v>9</v>
      </c>
      <c r="C11" s="12">
        <v>44</v>
      </c>
      <c r="D11" s="27"/>
      <c r="F11" s="20"/>
    </row>
    <row r="12" spans="1:6" ht="15.6" x14ac:dyDescent="0.3">
      <c r="A12" s="34"/>
      <c r="B12" s="12">
        <v>10</v>
      </c>
      <c r="C12" s="12">
        <v>48</v>
      </c>
      <c r="D12" s="27"/>
      <c r="F12" s="20"/>
    </row>
    <row r="13" spans="1:6" ht="15.6" x14ac:dyDescent="0.3">
      <c r="A13" s="34"/>
      <c r="B13" s="12">
        <v>11</v>
      </c>
      <c r="C13" s="12">
        <v>53</v>
      </c>
      <c r="D13" s="27"/>
      <c r="F13" s="20"/>
    </row>
    <row r="14" spans="1:6" ht="15.6" x14ac:dyDescent="0.3">
      <c r="A14" s="34"/>
      <c r="B14" s="12">
        <v>12</v>
      </c>
      <c r="C14" s="12">
        <v>57</v>
      </c>
      <c r="D14" s="27"/>
      <c r="F14" s="20"/>
    </row>
    <row r="15" spans="1:6" ht="15.6" x14ac:dyDescent="0.3">
      <c r="A15" s="34"/>
      <c r="B15" s="12">
        <v>13</v>
      </c>
      <c r="C15" s="12">
        <v>62</v>
      </c>
      <c r="D15" s="27"/>
    </row>
    <row r="16" spans="1:6" ht="15.6" x14ac:dyDescent="0.3">
      <c r="A16" s="34"/>
      <c r="B16" s="12">
        <v>14</v>
      </c>
      <c r="C16" s="12">
        <v>68</v>
      </c>
      <c r="D16" s="27"/>
      <c r="E16">
        <v>44.02</v>
      </c>
    </row>
    <row r="17" spans="1:5" ht="15.6" x14ac:dyDescent="0.3">
      <c r="A17" s="34"/>
      <c r="B17" s="12">
        <v>15</v>
      </c>
      <c r="C17" s="12">
        <v>73</v>
      </c>
      <c r="D17" s="27"/>
    </row>
    <row r="18" spans="1:5" ht="15.6" x14ac:dyDescent="0.3">
      <c r="A18" s="34"/>
      <c r="B18" s="12">
        <v>16</v>
      </c>
      <c r="C18" s="12">
        <v>78</v>
      </c>
      <c r="D18" s="27"/>
    </row>
    <row r="19" spans="1:5" ht="15.6" x14ac:dyDescent="0.3">
      <c r="A19" s="34"/>
      <c r="B19" s="12">
        <v>17</v>
      </c>
      <c r="C19" s="12">
        <v>84</v>
      </c>
      <c r="D19" s="27"/>
    </row>
    <row r="20" spans="1:5" ht="15.6" x14ac:dyDescent="0.3">
      <c r="A20" s="34"/>
      <c r="B20" s="12">
        <v>18</v>
      </c>
      <c r="C20" s="12">
        <v>90</v>
      </c>
      <c r="D20" s="27"/>
    </row>
    <row r="21" spans="1:5" ht="15.6" x14ac:dyDescent="0.3">
      <c r="A21" s="34"/>
      <c r="B21" s="12">
        <v>19</v>
      </c>
      <c r="C21" s="12">
        <v>96</v>
      </c>
      <c r="D21" s="27"/>
    </row>
    <row r="22" spans="1:5" ht="15.6" x14ac:dyDescent="0.3">
      <c r="A22" s="34"/>
      <c r="B22" s="12">
        <v>20</v>
      </c>
      <c r="C22" s="12">
        <v>102</v>
      </c>
      <c r="D22" s="27"/>
    </row>
    <row r="23" spans="1:5" ht="15.6" x14ac:dyDescent="0.3">
      <c r="A23" s="34"/>
      <c r="B23" s="12">
        <v>21</v>
      </c>
      <c r="C23" s="12">
        <v>108</v>
      </c>
      <c r="D23" s="27"/>
      <c r="E23">
        <v>66.12</v>
      </c>
    </row>
    <row r="24" spans="1:5" ht="15.6" x14ac:dyDescent="0.3">
      <c r="A24" s="34"/>
      <c r="B24" s="12">
        <v>22</v>
      </c>
      <c r="C24" s="12">
        <v>114</v>
      </c>
      <c r="D24" s="27"/>
    </row>
    <row r="25" spans="1:5" ht="15.6" x14ac:dyDescent="0.3">
      <c r="A25" s="34"/>
      <c r="B25" s="12">
        <v>23</v>
      </c>
      <c r="C25" s="12">
        <v>120</v>
      </c>
      <c r="D25" s="27"/>
    </row>
    <row r="26" spans="1:5" ht="15.6" x14ac:dyDescent="0.3">
      <c r="A26" s="34"/>
      <c r="B26" s="12">
        <v>24</v>
      </c>
      <c r="C26" s="12">
        <v>126</v>
      </c>
      <c r="D26" s="27"/>
    </row>
    <row r="27" spans="1:5" ht="15.6" x14ac:dyDescent="0.3">
      <c r="A27" s="34"/>
      <c r="B27" s="12">
        <v>25</v>
      </c>
      <c r="C27" s="12">
        <v>133</v>
      </c>
      <c r="D27" s="27"/>
    </row>
    <row r="28" spans="1:5" ht="15.6" x14ac:dyDescent="0.3">
      <c r="A28" s="34"/>
      <c r="B28" s="12">
        <v>26</v>
      </c>
      <c r="C28" s="12">
        <v>139</v>
      </c>
      <c r="D28" s="27"/>
    </row>
    <row r="29" spans="1:5" ht="15.6" x14ac:dyDescent="0.3">
      <c r="A29" s="34"/>
      <c r="B29" s="12">
        <v>27</v>
      </c>
      <c r="C29" s="12">
        <v>145</v>
      </c>
      <c r="D29" s="27"/>
    </row>
    <row r="30" spans="1:5" ht="15.6" x14ac:dyDescent="0.3">
      <c r="A30" s="34"/>
      <c r="B30" s="12">
        <v>28</v>
      </c>
      <c r="C30" s="12">
        <v>151</v>
      </c>
      <c r="D30" s="27"/>
      <c r="E30">
        <v>84.11</v>
      </c>
    </row>
    <row r="31" spans="1:5" ht="15.6" x14ac:dyDescent="0.3">
      <c r="A31" s="34"/>
      <c r="B31" s="12">
        <v>29</v>
      </c>
      <c r="C31" s="12">
        <v>156</v>
      </c>
      <c r="D31" s="27"/>
    </row>
    <row r="32" spans="1:5" ht="15.6" x14ac:dyDescent="0.3">
      <c r="A32" s="34"/>
      <c r="B32" s="12">
        <v>30</v>
      </c>
      <c r="C32" s="12">
        <v>162</v>
      </c>
      <c r="D32" s="27"/>
    </row>
    <row r="33" spans="1:5" ht="15.6" x14ac:dyDescent="0.3">
      <c r="A33" s="34"/>
      <c r="B33" s="12">
        <v>31</v>
      </c>
      <c r="C33" s="12">
        <v>168</v>
      </c>
      <c r="D33" s="27"/>
    </row>
    <row r="34" spans="1:5" ht="15.6" x14ac:dyDescent="0.3">
      <c r="A34" s="34"/>
      <c r="B34" s="12">
        <v>32</v>
      </c>
      <c r="C34" s="12">
        <v>173</v>
      </c>
      <c r="D34" s="27"/>
    </row>
    <row r="35" spans="1:5" ht="15.6" x14ac:dyDescent="0.3">
      <c r="A35" s="34"/>
      <c r="B35" s="12">
        <v>33</v>
      </c>
      <c r="C35" s="12">
        <v>178</v>
      </c>
      <c r="D35" s="27"/>
      <c r="E35">
        <v>94.85</v>
      </c>
    </row>
    <row r="36" spans="1:5" ht="15.6" x14ac:dyDescent="0.3">
      <c r="A36" s="34"/>
      <c r="B36" s="12">
        <v>34</v>
      </c>
      <c r="C36" s="12">
        <v>184</v>
      </c>
      <c r="D36" s="27"/>
    </row>
    <row r="37" spans="1:5" ht="15.6" x14ac:dyDescent="0.3">
      <c r="A37" s="34"/>
      <c r="B37" s="12">
        <v>35</v>
      </c>
      <c r="C37" s="12">
        <v>188</v>
      </c>
      <c r="D37" s="27"/>
    </row>
    <row r="38" spans="1:5" ht="15.6" x14ac:dyDescent="0.3">
      <c r="C38" s="33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7B10E-43E3-4578-9A1B-C47DD37B73E4}">
  <dimension ref="A1:J37"/>
  <sheetViews>
    <sheetView topLeftCell="A14" workbookViewId="0">
      <selection activeCell="I36" sqref="I36"/>
    </sheetView>
  </sheetViews>
  <sheetFormatPr defaultRowHeight="14.4" x14ac:dyDescent="0.3"/>
  <cols>
    <col min="1" max="1" width="12.6640625" customWidth="1"/>
    <col min="2" max="2" width="10.88671875" customWidth="1"/>
    <col min="3" max="3" width="12.33203125" customWidth="1"/>
    <col min="9" max="9" width="11.6640625" customWidth="1"/>
    <col min="10" max="10" width="11.5546875" bestFit="1" customWidth="1"/>
  </cols>
  <sheetData>
    <row r="1" spans="1:10" ht="16.5" customHeight="1" x14ac:dyDescent="0.3">
      <c r="A1" s="17" t="s">
        <v>32</v>
      </c>
      <c r="B1" s="11" t="s">
        <v>31</v>
      </c>
      <c r="C1" s="11" t="s">
        <v>29</v>
      </c>
      <c r="D1" s="11" t="s">
        <v>30</v>
      </c>
      <c r="H1" s="56"/>
      <c r="I1" s="56"/>
      <c r="J1" s="56"/>
    </row>
    <row r="2" spans="1:10" ht="15.6" x14ac:dyDescent="0.3">
      <c r="A2" s="34">
        <v>44925</v>
      </c>
      <c r="B2" s="12">
        <v>0</v>
      </c>
      <c r="C2" s="12">
        <v>0</v>
      </c>
      <c r="D2" s="10">
        <v>0</v>
      </c>
      <c r="H2" s="57"/>
      <c r="I2" s="57"/>
      <c r="J2" s="58"/>
    </row>
    <row r="3" spans="1:10" ht="15.6" x14ac:dyDescent="0.3">
      <c r="A3" s="34">
        <v>44926</v>
      </c>
      <c r="B3" s="12">
        <v>1</v>
      </c>
      <c r="C3" s="12">
        <v>0.215</v>
      </c>
      <c r="D3" s="10">
        <v>0.3</v>
      </c>
      <c r="H3" s="57"/>
      <c r="I3" s="57"/>
      <c r="J3" s="58"/>
    </row>
    <row r="4" spans="1:10" ht="15.6" x14ac:dyDescent="0.3">
      <c r="A4" s="34">
        <v>44562</v>
      </c>
      <c r="B4" s="12">
        <v>2</v>
      </c>
      <c r="C4" s="12">
        <v>0.38400000000000001</v>
      </c>
      <c r="D4" s="10">
        <v>0.4</v>
      </c>
      <c r="H4" s="57"/>
      <c r="I4" s="57"/>
      <c r="J4" s="58"/>
    </row>
    <row r="5" spans="1:10" ht="15.6" x14ac:dyDescent="0.3">
      <c r="A5" s="34">
        <v>44563</v>
      </c>
      <c r="B5" s="12">
        <v>3</v>
      </c>
      <c r="C5" s="12">
        <v>0.51600000000000001</v>
      </c>
      <c r="D5" s="10">
        <v>0.6</v>
      </c>
      <c r="H5" s="57"/>
      <c r="I5" s="57"/>
      <c r="J5" s="58"/>
    </row>
    <row r="6" spans="1:10" ht="15.6" x14ac:dyDescent="0.3">
      <c r="A6" s="34">
        <v>44564</v>
      </c>
      <c r="B6" s="12">
        <v>4</v>
      </c>
      <c r="C6" s="12">
        <v>0.621</v>
      </c>
      <c r="D6" s="10">
        <v>0.7</v>
      </c>
      <c r="H6" s="57"/>
      <c r="I6" s="57"/>
      <c r="J6" s="58"/>
    </row>
    <row r="7" spans="1:10" ht="15.6" x14ac:dyDescent="0.3">
      <c r="A7" s="34">
        <v>44565</v>
      </c>
      <c r="B7" s="12">
        <v>5</v>
      </c>
      <c r="C7" s="12">
        <v>0.70499999999999996</v>
      </c>
      <c r="D7" s="10"/>
      <c r="H7" s="59"/>
      <c r="I7" s="59"/>
      <c r="J7" s="59"/>
    </row>
    <row r="8" spans="1:10" ht="15.6" x14ac:dyDescent="0.3">
      <c r="A8" s="34">
        <v>44566</v>
      </c>
      <c r="B8" s="12">
        <v>6</v>
      </c>
      <c r="C8" s="12">
        <v>0.77200000000000002</v>
      </c>
      <c r="D8" s="10"/>
      <c r="H8" s="59"/>
      <c r="I8" s="59"/>
      <c r="J8" s="59"/>
    </row>
    <row r="9" spans="1:10" ht="15.6" x14ac:dyDescent="0.3">
      <c r="A9" s="34">
        <v>44567</v>
      </c>
      <c r="B9" s="12">
        <v>7</v>
      </c>
      <c r="C9" s="12">
        <v>0.82799999999999996</v>
      </c>
      <c r="D9" s="10"/>
    </row>
    <row r="10" spans="1:10" ht="15.6" x14ac:dyDescent="0.3">
      <c r="A10" s="34">
        <v>44568</v>
      </c>
      <c r="B10" s="12">
        <v>8</v>
      </c>
      <c r="C10" s="12">
        <v>0.875</v>
      </c>
      <c r="D10" s="10"/>
    </row>
    <row r="11" spans="1:10" ht="15.6" x14ac:dyDescent="0.3">
      <c r="A11" s="34">
        <v>44569</v>
      </c>
      <c r="B11" s="12">
        <v>9</v>
      </c>
      <c r="C11" s="12">
        <v>0.91400000000000003</v>
      </c>
      <c r="D11" s="10"/>
    </row>
    <row r="12" spans="1:10" ht="15.6" x14ac:dyDescent="0.3">
      <c r="A12" s="34">
        <v>44570</v>
      </c>
      <c r="B12" s="12">
        <v>10</v>
      </c>
      <c r="C12" s="12">
        <v>0.94799999999999995</v>
      </c>
      <c r="D12" s="10"/>
    </row>
    <row r="13" spans="1:10" ht="15.6" x14ac:dyDescent="0.3">
      <c r="A13" s="34">
        <v>44571</v>
      </c>
      <c r="B13" s="12">
        <v>11</v>
      </c>
      <c r="C13" s="12">
        <v>0.97899999999999998</v>
      </c>
      <c r="D13" s="10"/>
    </row>
    <row r="14" spans="1:10" ht="15.6" x14ac:dyDescent="0.3">
      <c r="A14" s="34">
        <v>44572</v>
      </c>
      <c r="B14" s="12">
        <v>12</v>
      </c>
      <c r="C14" s="12">
        <v>1.006</v>
      </c>
      <c r="D14" s="10"/>
    </row>
    <row r="15" spans="1:10" ht="15.6" x14ac:dyDescent="0.3">
      <c r="A15" s="34">
        <v>44573</v>
      </c>
      <c r="B15" s="12">
        <v>13</v>
      </c>
      <c r="C15" s="12">
        <v>1.0309999999999999</v>
      </c>
      <c r="D15" s="10"/>
    </row>
    <row r="16" spans="1:10" ht="15.6" x14ac:dyDescent="0.3">
      <c r="A16" s="34">
        <v>44574</v>
      </c>
      <c r="B16" s="12">
        <v>14</v>
      </c>
      <c r="C16" s="12">
        <v>1.0549999999999999</v>
      </c>
      <c r="D16" s="10"/>
    </row>
    <row r="17" spans="1:4" ht="15.6" x14ac:dyDescent="0.3">
      <c r="A17" s="34">
        <v>44575</v>
      </c>
      <c r="B17" s="12">
        <v>15</v>
      </c>
      <c r="C17" s="12">
        <v>1.077</v>
      </c>
      <c r="D17" s="10"/>
    </row>
    <row r="18" spans="1:4" ht="15.6" x14ac:dyDescent="0.3">
      <c r="A18" s="34">
        <v>44576</v>
      </c>
      <c r="B18" s="12">
        <v>16</v>
      </c>
      <c r="C18" s="12">
        <v>1.099</v>
      </c>
      <c r="D18" s="10"/>
    </row>
    <row r="19" spans="1:4" ht="15.6" x14ac:dyDescent="0.3">
      <c r="A19" s="34">
        <v>44577</v>
      </c>
      <c r="B19" s="12">
        <v>17</v>
      </c>
      <c r="C19" s="12">
        <v>1.1200000000000001</v>
      </c>
      <c r="D19" s="10"/>
    </row>
    <row r="20" spans="1:4" ht="15.6" x14ac:dyDescent="0.3">
      <c r="A20" s="34">
        <v>44578</v>
      </c>
      <c r="B20" s="12">
        <v>18</v>
      </c>
      <c r="C20" s="12">
        <v>1.1399999999999999</v>
      </c>
      <c r="D20" s="10"/>
    </row>
    <row r="21" spans="1:4" ht="15.6" x14ac:dyDescent="0.3">
      <c r="A21" s="34">
        <v>44579</v>
      </c>
      <c r="B21" s="12">
        <v>19</v>
      </c>
      <c r="C21" s="12">
        <v>1.161</v>
      </c>
      <c r="D21" s="10"/>
    </row>
    <row r="22" spans="1:4" ht="15.6" x14ac:dyDescent="0.3">
      <c r="A22" s="34">
        <v>44580</v>
      </c>
      <c r="B22" s="12">
        <v>20</v>
      </c>
      <c r="C22" s="12">
        <v>1.181</v>
      </c>
      <c r="D22" s="10"/>
    </row>
    <row r="23" spans="1:4" ht="15.6" x14ac:dyDescent="0.3">
      <c r="A23" s="34">
        <v>44581</v>
      </c>
      <c r="B23" s="12">
        <v>21</v>
      </c>
      <c r="C23" s="12">
        <v>1.2010000000000001</v>
      </c>
      <c r="D23" s="10"/>
    </row>
    <row r="24" spans="1:4" ht="15.6" x14ac:dyDescent="0.3">
      <c r="A24" s="34">
        <v>44582</v>
      </c>
      <c r="B24" s="12">
        <v>22</v>
      </c>
      <c r="C24" s="12">
        <v>1.2210000000000001</v>
      </c>
      <c r="D24" s="10"/>
    </row>
    <row r="25" spans="1:4" ht="15.6" x14ac:dyDescent="0.3">
      <c r="A25" s="34">
        <v>44583</v>
      </c>
      <c r="B25" s="12">
        <v>23</v>
      </c>
      <c r="C25" s="12">
        <v>1.2410000000000001</v>
      </c>
      <c r="D25" s="10"/>
    </row>
    <row r="26" spans="1:4" ht="15.6" x14ac:dyDescent="0.3">
      <c r="A26" s="34">
        <v>44584</v>
      </c>
      <c r="B26" s="12">
        <v>24</v>
      </c>
      <c r="C26" s="12">
        <v>1.2609999999999999</v>
      </c>
      <c r="D26" s="10"/>
    </row>
    <row r="27" spans="1:4" ht="15.6" x14ac:dyDescent="0.3">
      <c r="A27" s="34">
        <v>44585</v>
      </c>
      <c r="B27" s="12">
        <v>25</v>
      </c>
      <c r="C27" s="12">
        <v>1.2809999999999999</v>
      </c>
      <c r="D27" s="10"/>
    </row>
    <row r="28" spans="1:4" ht="15.6" x14ac:dyDescent="0.3">
      <c r="A28" s="34">
        <v>44586</v>
      </c>
      <c r="B28" s="12">
        <v>26</v>
      </c>
      <c r="C28" s="12">
        <v>1.3009999999999999</v>
      </c>
      <c r="D28" s="10"/>
    </row>
    <row r="29" spans="1:4" ht="15.6" x14ac:dyDescent="0.3">
      <c r="A29" s="34">
        <v>44587</v>
      </c>
      <c r="B29" s="12">
        <v>27</v>
      </c>
      <c r="C29" s="12">
        <v>1.321</v>
      </c>
      <c r="D29" s="10"/>
    </row>
    <row r="30" spans="1:4" ht="15.6" x14ac:dyDescent="0.3">
      <c r="A30" s="34">
        <v>44588</v>
      </c>
      <c r="B30" s="12">
        <v>28</v>
      </c>
      <c r="C30" s="12">
        <v>1.341</v>
      </c>
      <c r="D30" s="10"/>
    </row>
    <row r="31" spans="1:4" ht="15.6" x14ac:dyDescent="0.3">
      <c r="A31" s="34">
        <v>44589</v>
      </c>
      <c r="B31" s="12">
        <v>29</v>
      </c>
      <c r="C31" s="12">
        <v>1.361</v>
      </c>
      <c r="D31" s="10"/>
    </row>
    <row r="32" spans="1:4" ht="15.6" x14ac:dyDescent="0.3">
      <c r="A32" s="34">
        <v>44590</v>
      </c>
      <c r="B32" s="12">
        <v>30</v>
      </c>
      <c r="C32" s="12">
        <v>1.3819999999999999</v>
      </c>
      <c r="D32" s="10"/>
    </row>
    <row r="33" spans="1:4" ht="15.6" x14ac:dyDescent="0.3">
      <c r="A33" s="34">
        <v>44591</v>
      </c>
      <c r="B33" s="12">
        <v>31</v>
      </c>
      <c r="C33" s="12">
        <v>1.4019999999999999</v>
      </c>
      <c r="D33" s="10"/>
    </row>
    <row r="34" spans="1:4" ht="15.6" x14ac:dyDescent="0.3">
      <c r="A34" s="34">
        <v>44592</v>
      </c>
      <c r="B34" s="12">
        <v>32</v>
      </c>
      <c r="C34" s="12">
        <v>1.423</v>
      </c>
      <c r="D34" s="10"/>
    </row>
    <row r="35" spans="1:4" ht="15.6" x14ac:dyDescent="0.3">
      <c r="A35" s="34">
        <v>44593</v>
      </c>
      <c r="B35" s="12">
        <v>33</v>
      </c>
      <c r="C35" s="12">
        <v>1.4430000000000001</v>
      </c>
      <c r="D35" s="10"/>
    </row>
    <row r="36" spans="1:4" ht="15.6" x14ac:dyDescent="0.3">
      <c r="A36" s="34">
        <v>44594</v>
      </c>
      <c r="B36" s="12">
        <v>34</v>
      </c>
      <c r="C36" s="12">
        <v>1.464</v>
      </c>
      <c r="D36" s="10"/>
    </row>
    <row r="37" spans="1:4" ht="15.6" x14ac:dyDescent="0.3">
      <c r="A37" s="34">
        <v>44595</v>
      </c>
      <c r="B37" s="12">
        <v>35</v>
      </c>
      <c r="C37" s="12">
        <v>1.484</v>
      </c>
      <c r="D37" s="10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6924C-17CA-4042-B464-91D74C602983}">
  <dimension ref="A1:T39"/>
  <sheetViews>
    <sheetView workbookViewId="0">
      <selection activeCell="P5" sqref="P5:P39"/>
    </sheetView>
  </sheetViews>
  <sheetFormatPr defaultColWidth="9.109375" defaultRowHeight="14.4" x14ac:dyDescent="0.3"/>
  <cols>
    <col min="1" max="16384" width="9.109375" style="2"/>
  </cols>
  <sheetData>
    <row r="1" spans="1:20" ht="15" thickBot="1" x14ac:dyDescent="0.35">
      <c r="A1" s="45" t="s">
        <v>0</v>
      </c>
      <c r="B1" s="45" t="s">
        <v>1</v>
      </c>
      <c r="C1" s="48" t="s">
        <v>2</v>
      </c>
      <c r="D1" s="49"/>
      <c r="E1" s="50"/>
      <c r="F1" s="1"/>
      <c r="G1" s="48" t="s">
        <v>3</v>
      </c>
      <c r="H1" s="49"/>
      <c r="I1" s="50"/>
      <c r="J1" s="48" t="s">
        <v>4</v>
      </c>
      <c r="K1" s="50"/>
      <c r="L1" s="48" t="s">
        <v>5</v>
      </c>
      <c r="M1" s="49"/>
      <c r="N1" s="49"/>
      <c r="O1" s="49"/>
      <c r="P1" s="50"/>
      <c r="Q1" s="48" t="s">
        <v>6</v>
      </c>
      <c r="R1" s="49"/>
      <c r="S1" s="50"/>
      <c r="T1" s="1"/>
    </row>
    <row r="2" spans="1:20" ht="28.2" x14ac:dyDescent="0.3">
      <c r="A2" s="46"/>
      <c r="B2" s="46"/>
      <c r="C2" s="45" t="s">
        <v>7</v>
      </c>
      <c r="D2" s="45" t="s">
        <v>8</v>
      </c>
      <c r="E2" s="45" t="s">
        <v>9</v>
      </c>
      <c r="F2" s="45" t="s">
        <v>10</v>
      </c>
      <c r="G2" s="45" t="s">
        <v>11</v>
      </c>
      <c r="H2" s="45" t="s">
        <v>12</v>
      </c>
      <c r="I2" s="45" t="s">
        <v>13</v>
      </c>
      <c r="J2" s="45" t="s">
        <v>14</v>
      </c>
      <c r="K2" s="45" t="s">
        <v>15</v>
      </c>
      <c r="L2" s="45" t="s">
        <v>16</v>
      </c>
      <c r="M2" s="45" t="s">
        <v>17</v>
      </c>
      <c r="N2" s="45" t="s">
        <v>18</v>
      </c>
      <c r="O2" s="45" t="s">
        <v>19</v>
      </c>
      <c r="P2" s="45" t="s">
        <v>20</v>
      </c>
      <c r="Q2" s="45" t="s">
        <v>21</v>
      </c>
      <c r="R2" s="45" t="s">
        <v>22</v>
      </c>
      <c r="S2" s="3" t="s">
        <v>23</v>
      </c>
      <c r="T2" s="51" t="s">
        <v>25</v>
      </c>
    </row>
    <row r="3" spans="1:20" ht="16.2" thickBot="1" x14ac:dyDescent="0.35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" t="s">
        <v>24</v>
      </c>
      <c r="T3" s="52"/>
    </row>
    <row r="4" spans="1:20" ht="15" thickBot="1" x14ac:dyDescent="0.35">
      <c r="A4" s="5"/>
      <c r="B4" s="6">
        <v>0</v>
      </c>
      <c r="C4" s="6"/>
      <c r="D4" s="6"/>
      <c r="E4" s="6"/>
      <c r="F4" s="6"/>
      <c r="G4" s="6">
        <v>36</v>
      </c>
      <c r="H4" s="6"/>
      <c r="I4" s="6"/>
      <c r="J4" s="6">
        <v>40</v>
      </c>
      <c r="K4" s="6"/>
      <c r="L4" s="6"/>
      <c r="M4" s="6">
        <v>0</v>
      </c>
      <c r="N4" s="6"/>
      <c r="O4" s="6">
        <v>0</v>
      </c>
      <c r="P4" s="6"/>
      <c r="Q4" s="6"/>
      <c r="R4" s="6">
        <v>0</v>
      </c>
      <c r="S4" s="6"/>
      <c r="T4" s="6"/>
    </row>
    <row r="5" spans="1:20" ht="15" thickBot="1" x14ac:dyDescent="0.35">
      <c r="A5" s="5"/>
      <c r="B5" s="6">
        <v>1</v>
      </c>
      <c r="C5" s="6"/>
      <c r="D5" s="6"/>
      <c r="E5" s="6"/>
      <c r="F5" s="6">
        <v>60</v>
      </c>
      <c r="G5" s="6">
        <v>35</v>
      </c>
      <c r="H5" s="6"/>
      <c r="I5" s="6"/>
      <c r="J5" s="6">
        <v>49</v>
      </c>
      <c r="K5" s="6"/>
      <c r="L5" s="6"/>
      <c r="M5" s="6">
        <v>15</v>
      </c>
      <c r="N5" s="6"/>
      <c r="O5" s="6">
        <v>15</v>
      </c>
      <c r="P5" s="37">
        <f>O5/J5</f>
        <v>0.30612244897959184</v>
      </c>
      <c r="Q5" s="6"/>
      <c r="R5" s="6">
        <v>24</v>
      </c>
      <c r="S5" s="6"/>
      <c r="T5" s="6"/>
    </row>
    <row r="6" spans="1:20" ht="15" thickBot="1" x14ac:dyDescent="0.35">
      <c r="A6" s="5"/>
      <c r="B6" s="6">
        <v>2</v>
      </c>
      <c r="C6" s="6"/>
      <c r="D6" s="6"/>
      <c r="E6" s="6"/>
      <c r="F6" s="6"/>
      <c r="G6" s="6">
        <v>34</v>
      </c>
      <c r="H6" s="6"/>
      <c r="I6" s="6"/>
      <c r="J6" s="6">
        <v>61</v>
      </c>
      <c r="K6" s="6"/>
      <c r="L6" s="6"/>
      <c r="M6" s="6">
        <v>17</v>
      </c>
      <c r="N6" s="6"/>
      <c r="O6" s="6">
        <v>32</v>
      </c>
      <c r="P6" s="37">
        <f t="shared" ref="P6:P39" si="0">O6/J6</f>
        <v>0.52459016393442626</v>
      </c>
      <c r="Q6" s="6"/>
      <c r="R6" s="6">
        <v>28</v>
      </c>
      <c r="S6" s="6"/>
      <c r="T6" s="6"/>
    </row>
    <row r="7" spans="1:20" ht="15" thickBot="1" x14ac:dyDescent="0.35">
      <c r="A7" s="5"/>
      <c r="B7" s="6">
        <v>3</v>
      </c>
      <c r="C7" s="6"/>
      <c r="D7" s="6"/>
      <c r="E7" s="6"/>
      <c r="F7" s="6"/>
      <c r="G7" s="6">
        <v>33</v>
      </c>
      <c r="H7" s="6"/>
      <c r="I7" s="6"/>
      <c r="J7" s="6">
        <v>78</v>
      </c>
      <c r="K7" s="6"/>
      <c r="L7" s="6"/>
      <c r="M7" s="6">
        <v>20</v>
      </c>
      <c r="N7" s="6"/>
      <c r="O7" s="6">
        <v>53</v>
      </c>
      <c r="P7" s="37">
        <f t="shared" si="0"/>
        <v>0.67948717948717952</v>
      </c>
      <c r="Q7" s="6"/>
      <c r="R7" s="6">
        <v>37</v>
      </c>
      <c r="S7" s="6"/>
      <c r="T7" s="6"/>
    </row>
    <row r="8" spans="1:20" ht="15" thickBot="1" x14ac:dyDescent="0.35">
      <c r="A8" s="5"/>
      <c r="B8" s="6">
        <v>4</v>
      </c>
      <c r="C8" s="6"/>
      <c r="D8" s="6"/>
      <c r="E8" s="6"/>
      <c r="F8" s="6"/>
      <c r="G8" s="6">
        <v>32</v>
      </c>
      <c r="H8" s="6"/>
      <c r="I8" s="6"/>
      <c r="J8" s="6">
        <v>95</v>
      </c>
      <c r="K8" s="6"/>
      <c r="L8" s="6"/>
      <c r="M8" s="6">
        <v>22</v>
      </c>
      <c r="N8" s="6"/>
      <c r="O8" s="6">
        <v>74</v>
      </c>
      <c r="P8" s="37">
        <f t="shared" si="0"/>
        <v>0.77894736842105261</v>
      </c>
      <c r="Q8" s="6"/>
      <c r="R8" s="6">
        <v>42</v>
      </c>
      <c r="S8" s="6"/>
      <c r="T8" s="6"/>
    </row>
    <row r="9" spans="1:20" ht="15" thickBot="1" x14ac:dyDescent="0.35">
      <c r="A9" s="5"/>
      <c r="B9" s="6">
        <v>5</v>
      </c>
      <c r="C9" s="6"/>
      <c r="D9" s="6"/>
      <c r="E9" s="6"/>
      <c r="F9" s="6"/>
      <c r="G9" s="6">
        <v>31</v>
      </c>
      <c r="H9" s="6"/>
      <c r="I9" s="6"/>
      <c r="J9" s="6">
        <v>120</v>
      </c>
      <c r="K9" s="6"/>
      <c r="L9" s="6"/>
      <c r="M9" s="6">
        <v>25</v>
      </c>
      <c r="N9" s="6"/>
      <c r="O9" s="6">
        <v>99</v>
      </c>
      <c r="P9" s="37">
        <f t="shared" si="0"/>
        <v>0.82499999999999996</v>
      </c>
      <c r="Q9" s="6"/>
      <c r="R9" s="6">
        <v>50</v>
      </c>
      <c r="S9" s="6"/>
      <c r="T9" s="6"/>
    </row>
    <row r="10" spans="1:20" ht="15" thickBot="1" x14ac:dyDescent="0.35">
      <c r="A10" s="5"/>
      <c r="B10" s="6">
        <v>6</v>
      </c>
      <c r="C10" s="6"/>
      <c r="D10" s="6"/>
      <c r="E10" s="6"/>
      <c r="F10" s="6"/>
      <c r="G10" s="6">
        <v>30.5</v>
      </c>
      <c r="H10" s="6"/>
      <c r="I10" s="6"/>
      <c r="J10" s="6">
        <v>145</v>
      </c>
      <c r="K10" s="6"/>
      <c r="L10" s="6"/>
      <c r="M10" s="6">
        <v>28</v>
      </c>
      <c r="N10" s="6"/>
      <c r="O10" s="6">
        <v>127</v>
      </c>
      <c r="P10" s="37">
        <f t="shared" si="0"/>
        <v>0.87586206896551722</v>
      </c>
      <c r="Q10" s="6"/>
      <c r="R10" s="6">
        <v>56</v>
      </c>
      <c r="S10" s="6"/>
      <c r="T10" s="6"/>
    </row>
    <row r="11" spans="1:20" ht="15" thickBot="1" x14ac:dyDescent="0.35">
      <c r="A11" s="5"/>
      <c r="B11" s="6">
        <v>7</v>
      </c>
      <c r="C11" s="6"/>
      <c r="D11" s="6"/>
      <c r="E11" s="6">
        <v>0.85</v>
      </c>
      <c r="F11" s="6"/>
      <c r="G11" s="6">
        <v>30.5</v>
      </c>
      <c r="H11" s="6"/>
      <c r="I11" s="6"/>
      <c r="J11" s="6">
        <v>175</v>
      </c>
      <c r="K11" s="6"/>
      <c r="L11" s="6">
        <v>0.9</v>
      </c>
      <c r="M11" s="6">
        <v>30</v>
      </c>
      <c r="N11" s="6"/>
      <c r="O11" s="6">
        <v>157</v>
      </c>
      <c r="P11" s="37">
        <f t="shared" si="0"/>
        <v>0.89714285714285713</v>
      </c>
      <c r="Q11" s="6"/>
      <c r="R11" s="6">
        <v>60</v>
      </c>
      <c r="S11" s="6"/>
      <c r="T11" s="6"/>
    </row>
    <row r="12" spans="1:20" ht="15" thickBot="1" x14ac:dyDescent="0.35">
      <c r="A12" s="5"/>
      <c r="B12" s="6">
        <v>8</v>
      </c>
      <c r="C12" s="6"/>
      <c r="D12" s="6"/>
      <c r="E12" s="6"/>
      <c r="F12" s="6"/>
      <c r="G12" s="6">
        <v>30.5</v>
      </c>
      <c r="H12" s="6"/>
      <c r="I12" s="6"/>
      <c r="J12" s="6">
        <v>205</v>
      </c>
      <c r="K12" s="6"/>
      <c r="L12" s="6"/>
      <c r="M12" s="6">
        <v>34</v>
      </c>
      <c r="N12" s="6"/>
      <c r="O12" s="6">
        <v>191</v>
      </c>
      <c r="P12" s="37">
        <f t="shared" si="0"/>
        <v>0.93170731707317078</v>
      </c>
      <c r="Q12" s="6"/>
      <c r="R12" s="6">
        <v>68</v>
      </c>
      <c r="S12" s="6"/>
      <c r="T12" s="6"/>
    </row>
    <row r="13" spans="1:20" ht="15" thickBot="1" x14ac:dyDescent="0.35">
      <c r="A13" s="5"/>
      <c r="B13" s="6">
        <v>9</v>
      </c>
      <c r="C13" s="6"/>
      <c r="D13" s="6"/>
      <c r="E13" s="6"/>
      <c r="F13" s="6"/>
      <c r="G13" s="6">
        <v>30</v>
      </c>
      <c r="H13" s="6"/>
      <c r="I13" s="6"/>
      <c r="J13" s="6">
        <v>238</v>
      </c>
      <c r="K13" s="6"/>
      <c r="L13" s="6"/>
      <c r="M13" s="6">
        <v>38</v>
      </c>
      <c r="N13" s="6"/>
      <c r="O13" s="6">
        <v>229</v>
      </c>
      <c r="P13" s="37">
        <f t="shared" si="0"/>
        <v>0.96218487394957986</v>
      </c>
      <c r="Q13" s="6"/>
      <c r="R13" s="6">
        <v>76</v>
      </c>
      <c r="S13" s="6"/>
      <c r="T13" s="6"/>
    </row>
    <row r="14" spans="1:20" ht="15" thickBot="1" x14ac:dyDescent="0.35">
      <c r="A14" s="5"/>
      <c r="B14" s="6">
        <v>10</v>
      </c>
      <c r="C14" s="6"/>
      <c r="D14" s="6"/>
      <c r="E14" s="6"/>
      <c r="F14" s="6"/>
      <c r="G14" s="6">
        <v>29.5</v>
      </c>
      <c r="H14" s="6"/>
      <c r="I14" s="6"/>
      <c r="J14" s="6">
        <v>273</v>
      </c>
      <c r="K14" s="6"/>
      <c r="L14" s="6"/>
      <c r="M14" s="6">
        <v>43</v>
      </c>
      <c r="N14" s="6"/>
      <c r="O14" s="6">
        <v>272</v>
      </c>
      <c r="P14" s="37">
        <f t="shared" si="0"/>
        <v>0.99633699633699635</v>
      </c>
      <c r="Q14" s="6"/>
      <c r="R14" s="6">
        <v>86</v>
      </c>
      <c r="S14" s="6"/>
      <c r="T14" s="6"/>
    </row>
    <row r="15" spans="1:20" ht="15" thickBot="1" x14ac:dyDescent="0.35">
      <c r="A15" s="5"/>
      <c r="B15" s="6">
        <v>11</v>
      </c>
      <c r="C15" s="6"/>
      <c r="D15" s="6"/>
      <c r="E15" s="6"/>
      <c r="F15" s="6"/>
      <c r="G15" s="6">
        <v>29</v>
      </c>
      <c r="H15" s="6"/>
      <c r="I15" s="6"/>
      <c r="J15" s="6">
        <v>315</v>
      </c>
      <c r="K15" s="6"/>
      <c r="L15" s="6"/>
      <c r="M15" s="6">
        <v>48</v>
      </c>
      <c r="N15" s="6"/>
      <c r="O15" s="6">
        <v>320</v>
      </c>
      <c r="P15" s="37">
        <f t="shared" si="0"/>
        <v>1.0158730158730158</v>
      </c>
      <c r="Q15" s="6"/>
      <c r="R15" s="6">
        <v>86</v>
      </c>
      <c r="S15" s="6"/>
      <c r="T15" s="6"/>
    </row>
    <row r="16" spans="1:20" ht="15" thickBot="1" x14ac:dyDescent="0.35">
      <c r="A16" s="5"/>
      <c r="B16" s="6">
        <v>12</v>
      </c>
      <c r="C16" s="6"/>
      <c r="D16" s="6"/>
      <c r="E16" s="6"/>
      <c r="F16" s="6"/>
      <c r="G16" s="6">
        <v>29</v>
      </c>
      <c r="H16" s="6"/>
      <c r="I16" s="6"/>
      <c r="J16" s="6">
        <v>357</v>
      </c>
      <c r="K16" s="6"/>
      <c r="L16" s="6"/>
      <c r="M16" s="6">
        <v>52</v>
      </c>
      <c r="N16" s="6"/>
      <c r="O16" s="6">
        <v>372</v>
      </c>
      <c r="P16" s="37">
        <f t="shared" si="0"/>
        <v>1.0420168067226891</v>
      </c>
      <c r="Q16" s="6"/>
      <c r="R16" s="6">
        <v>94</v>
      </c>
      <c r="S16" s="6"/>
      <c r="T16" s="6"/>
    </row>
    <row r="17" spans="1:20" ht="15" thickBot="1" x14ac:dyDescent="0.35">
      <c r="A17" s="5"/>
      <c r="B17" s="6">
        <v>13</v>
      </c>
      <c r="C17" s="6"/>
      <c r="D17" s="6"/>
      <c r="E17" s="6"/>
      <c r="F17" s="6"/>
      <c r="G17" s="6">
        <v>28.5</v>
      </c>
      <c r="H17" s="6"/>
      <c r="I17" s="6"/>
      <c r="J17" s="6">
        <v>400</v>
      </c>
      <c r="K17" s="6"/>
      <c r="L17" s="6"/>
      <c r="M17" s="6">
        <v>58</v>
      </c>
      <c r="N17" s="6"/>
      <c r="O17" s="6">
        <v>430</v>
      </c>
      <c r="P17" s="37">
        <f t="shared" si="0"/>
        <v>1.075</v>
      </c>
      <c r="Q17" s="6"/>
      <c r="R17" s="6">
        <v>103</v>
      </c>
      <c r="S17" s="6"/>
      <c r="T17" s="6"/>
    </row>
    <row r="18" spans="1:20" ht="15" thickBot="1" x14ac:dyDescent="0.35">
      <c r="A18" s="5"/>
      <c r="B18" s="6">
        <v>14</v>
      </c>
      <c r="C18" s="6"/>
      <c r="D18" s="6"/>
      <c r="E18" s="6">
        <v>1.7</v>
      </c>
      <c r="F18" s="6"/>
      <c r="G18" s="6">
        <v>28</v>
      </c>
      <c r="H18" s="6"/>
      <c r="I18" s="6"/>
      <c r="J18" s="6">
        <v>455</v>
      </c>
      <c r="K18" s="6"/>
      <c r="L18" s="6">
        <v>1.1000000000000001</v>
      </c>
      <c r="M18" s="6">
        <v>64</v>
      </c>
      <c r="N18" s="6"/>
      <c r="O18" s="6">
        <v>494</v>
      </c>
      <c r="P18" s="37">
        <f t="shared" si="0"/>
        <v>1.0857142857142856</v>
      </c>
      <c r="Q18" s="6"/>
      <c r="R18" s="6">
        <v>113</v>
      </c>
      <c r="S18" s="6"/>
      <c r="T18" s="6"/>
    </row>
    <row r="19" spans="1:20" ht="15" thickBot="1" x14ac:dyDescent="0.35">
      <c r="A19" s="5"/>
      <c r="B19" s="6">
        <v>15</v>
      </c>
      <c r="C19" s="6"/>
      <c r="D19" s="6"/>
      <c r="E19" s="6"/>
      <c r="F19" s="6">
        <v>65</v>
      </c>
      <c r="G19" s="6">
        <v>28</v>
      </c>
      <c r="H19" s="6"/>
      <c r="I19" s="6"/>
      <c r="J19" s="6">
        <v>495</v>
      </c>
      <c r="K19" s="6"/>
      <c r="L19" s="6"/>
      <c r="M19" s="6">
        <v>68</v>
      </c>
      <c r="N19" s="6"/>
      <c r="O19" s="6">
        <v>562</v>
      </c>
      <c r="P19" s="37">
        <f t="shared" si="0"/>
        <v>1.1353535353535353</v>
      </c>
      <c r="Q19" s="6"/>
      <c r="R19" s="6">
        <v>120</v>
      </c>
      <c r="S19" s="6"/>
      <c r="T19" s="6"/>
    </row>
    <row r="20" spans="1:20" ht="15" thickBot="1" x14ac:dyDescent="0.35">
      <c r="A20" s="5"/>
      <c r="B20" s="6">
        <v>16</v>
      </c>
      <c r="C20" s="6"/>
      <c r="D20" s="6"/>
      <c r="E20" s="6"/>
      <c r="F20" s="6"/>
      <c r="G20" s="6">
        <v>27.5</v>
      </c>
      <c r="H20" s="6"/>
      <c r="I20" s="6"/>
      <c r="J20" s="6">
        <v>547</v>
      </c>
      <c r="K20" s="6"/>
      <c r="L20" s="6"/>
      <c r="M20" s="6">
        <v>74</v>
      </c>
      <c r="N20" s="6"/>
      <c r="O20" s="6">
        <v>636</v>
      </c>
      <c r="P20" s="37">
        <f t="shared" si="0"/>
        <v>1.1627056672760512</v>
      </c>
      <c r="Q20" s="6"/>
      <c r="R20" s="6">
        <v>130</v>
      </c>
      <c r="S20" s="6"/>
      <c r="T20" s="6"/>
    </row>
    <row r="21" spans="1:20" ht="15" thickBot="1" x14ac:dyDescent="0.35">
      <c r="A21" s="5"/>
      <c r="B21" s="6">
        <v>17</v>
      </c>
      <c r="C21" s="6"/>
      <c r="D21" s="6"/>
      <c r="E21" s="6"/>
      <c r="F21" s="6"/>
      <c r="G21" s="6">
        <v>27.5</v>
      </c>
      <c r="H21" s="6"/>
      <c r="I21" s="6"/>
      <c r="J21" s="6">
        <v>601</v>
      </c>
      <c r="K21" s="6"/>
      <c r="L21" s="6"/>
      <c r="M21" s="6">
        <v>80</v>
      </c>
      <c r="N21" s="6"/>
      <c r="O21" s="6">
        <v>716</v>
      </c>
      <c r="P21" s="37">
        <f t="shared" si="0"/>
        <v>1.1913477537437605</v>
      </c>
      <c r="Q21" s="6"/>
      <c r="R21" s="6">
        <v>141</v>
      </c>
      <c r="S21" s="6"/>
      <c r="T21" s="6"/>
    </row>
    <row r="22" spans="1:20" ht="15" thickBot="1" x14ac:dyDescent="0.35">
      <c r="A22" s="5"/>
      <c r="B22" s="6">
        <v>18</v>
      </c>
      <c r="C22" s="6"/>
      <c r="D22" s="6"/>
      <c r="E22" s="6"/>
      <c r="F22" s="6"/>
      <c r="G22" s="6">
        <v>27</v>
      </c>
      <c r="H22" s="6"/>
      <c r="I22" s="6"/>
      <c r="J22" s="6">
        <v>658</v>
      </c>
      <c r="K22" s="6"/>
      <c r="L22" s="6"/>
      <c r="M22" s="6">
        <v>86</v>
      </c>
      <c r="N22" s="6"/>
      <c r="O22" s="6">
        <v>802</v>
      </c>
      <c r="P22" s="37">
        <f t="shared" si="0"/>
        <v>1.2188449848024316</v>
      </c>
      <c r="Q22" s="6"/>
      <c r="R22" s="6">
        <v>151</v>
      </c>
      <c r="S22" s="6"/>
      <c r="T22" s="6"/>
    </row>
    <row r="23" spans="1:20" ht="15" thickBot="1" x14ac:dyDescent="0.35">
      <c r="A23" s="5"/>
      <c r="B23" s="6">
        <v>19</v>
      </c>
      <c r="C23" s="6"/>
      <c r="D23" s="6"/>
      <c r="E23" s="6"/>
      <c r="F23" s="6"/>
      <c r="G23" s="6">
        <v>27</v>
      </c>
      <c r="H23" s="6"/>
      <c r="I23" s="6"/>
      <c r="J23" s="6">
        <v>717</v>
      </c>
      <c r="K23" s="6"/>
      <c r="L23" s="6"/>
      <c r="M23" s="6">
        <v>92</v>
      </c>
      <c r="N23" s="6"/>
      <c r="O23" s="6">
        <v>894</v>
      </c>
      <c r="P23" s="37">
        <f t="shared" si="0"/>
        <v>1.2468619246861925</v>
      </c>
      <c r="Q23" s="6"/>
      <c r="R23" s="6">
        <v>160</v>
      </c>
      <c r="S23" s="6"/>
      <c r="T23" s="6"/>
    </row>
    <row r="24" spans="1:20" ht="21" thickBot="1" x14ac:dyDescent="0.35">
      <c r="A24" s="5"/>
      <c r="B24" s="6">
        <v>20</v>
      </c>
      <c r="C24" s="6"/>
      <c r="D24" s="6"/>
      <c r="E24" s="6"/>
      <c r="F24" s="6"/>
      <c r="G24" s="6">
        <v>27</v>
      </c>
      <c r="H24" s="6"/>
      <c r="I24" s="6"/>
      <c r="J24" s="6">
        <v>778</v>
      </c>
      <c r="K24" s="6"/>
      <c r="L24" s="6"/>
      <c r="M24" s="6">
        <v>98</v>
      </c>
      <c r="N24" s="6"/>
      <c r="O24" s="6">
        <v>992</v>
      </c>
      <c r="P24" s="37">
        <f t="shared" si="0"/>
        <v>1.275064267352185</v>
      </c>
      <c r="Q24" s="6"/>
      <c r="R24" s="6">
        <v>172</v>
      </c>
      <c r="S24" s="6"/>
      <c r="T24" s="7" t="s">
        <v>26</v>
      </c>
    </row>
    <row r="25" spans="1:20" ht="15" thickBot="1" x14ac:dyDescent="0.35">
      <c r="A25" s="5"/>
      <c r="B25" s="6">
        <v>21</v>
      </c>
      <c r="C25" s="6"/>
      <c r="D25" s="6"/>
      <c r="E25" s="6">
        <v>2.5</v>
      </c>
      <c r="F25" s="6">
        <v>67</v>
      </c>
      <c r="G25" s="6">
        <v>26.5</v>
      </c>
      <c r="H25" s="6"/>
      <c r="I25" s="6"/>
      <c r="J25" s="6">
        <v>845</v>
      </c>
      <c r="K25" s="6"/>
      <c r="L25" s="6">
        <v>1.3</v>
      </c>
      <c r="M25" s="6">
        <v>104</v>
      </c>
      <c r="N25" s="6"/>
      <c r="O25" s="6">
        <v>1096</v>
      </c>
      <c r="P25" s="37">
        <f t="shared" si="0"/>
        <v>1.2970414201183431</v>
      </c>
      <c r="Q25" s="6"/>
      <c r="R25" s="6">
        <v>182</v>
      </c>
      <c r="S25" s="6"/>
      <c r="T25" s="7" t="s">
        <v>27</v>
      </c>
    </row>
    <row r="26" spans="1:20" ht="15" thickBot="1" x14ac:dyDescent="0.35">
      <c r="A26" s="5"/>
      <c r="B26" s="6">
        <v>22</v>
      </c>
      <c r="C26" s="6"/>
      <c r="D26" s="6"/>
      <c r="E26" s="6"/>
      <c r="F26" s="6"/>
      <c r="G26" s="6">
        <v>26.5</v>
      </c>
      <c r="H26" s="6"/>
      <c r="I26" s="6"/>
      <c r="J26" s="6">
        <v>913</v>
      </c>
      <c r="K26" s="6"/>
      <c r="L26" s="6"/>
      <c r="M26" s="6">
        <v>110</v>
      </c>
      <c r="N26" s="6"/>
      <c r="O26" s="6">
        <v>1206</v>
      </c>
      <c r="P26" s="37">
        <f t="shared" si="0"/>
        <v>1.32092004381161</v>
      </c>
      <c r="Q26" s="6"/>
      <c r="R26" s="6">
        <v>193</v>
      </c>
      <c r="S26" s="6"/>
      <c r="T26" s="8"/>
    </row>
    <row r="27" spans="1:20" ht="15" thickBot="1" x14ac:dyDescent="0.35">
      <c r="A27" s="5"/>
      <c r="B27" s="6">
        <v>23</v>
      </c>
      <c r="C27" s="6"/>
      <c r="D27" s="6"/>
      <c r="E27" s="6"/>
      <c r="F27" s="6"/>
      <c r="G27" s="6">
        <v>26.5</v>
      </c>
      <c r="H27" s="6"/>
      <c r="I27" s="6"/>
      <c r="J27" s="6">
        <v>984</v>
      </c>
      <c r="K27" s="6"/>
      <c r="L27" s="6"/>
      <c r="M27" s="6">
        <v>116</v>
      </c>
      <c r="N27" s="6"/>
      <c r="O27" s="6">
        <v>1322</v>
      </c>
      <c r="P27" s="37">
        <f t="shared" si="0"/>
        <v>1.3434959349593496</v>
      </c>
      <c r="Q27" s="6"/>
      <c r="R27" s="6">
        <v>203</v>
      </c>
      <c r="S27" s="6"/>
      <c r="T27" s="8"/>
    </row>
    <row r="28" spans="1:20" ht="15" thickBot="1" x14ac:dyDescent="0.35">
      <c r="A28" s="5"/>
      <c r="B28" s="6">
        <v>24</v>
      </c>
      <c r="C28" s="6"/>
      <c r="D28" s="6"/>
      <c r="E28" s="6"/>
      <c r="F28" s="6"/>
      <c r="G28" s="6">
        <v>26</v>
      </c>
      <c r="H28" s="6"/>
      <c r="I28" s="6"/>
      <c r="J28" s="6">
        <v>1057</v>
      </c>
      <c r="K28" s="6"/>
      <c r="L28" s="6"/>
      <c r="M28" s="6">
        <v>120</v>
      </c>
      <c r="N28" s="6"/>
      <c r="O28" s="6">
        <v>1441</v>
      </c>
      <c r="P28" s="37">
        <f t="shared" si="0"/>
        <v>1.3632923368022707</v>
      </c>
      <c r="Q28" s="6"/>
      <c r="R28" s="6">
        <v>210</v>
      </c>
      <c r="S28" s="6"/>
      <c r="T28" s="9"/>
    </row>
    <row r="29" spans="1:20" ht="15" thickBot="1" x14ac:dyDescent="0.35">
      <c r="A29" s="5"/>
      <c r="B29" s="6">
        <v>25</v>
      </c>
      <c r="C29" s="6"/>
      <c r="D29" s="6"/>
      <c r="E29" s="6"/>
      <c r="F29" s="6"/>
      <c r="G29" s="6">
        <v>26</v>
      </c>
      <c r="H29" s="6"/>
      <c r="I29" s="6"/>
      <c r="J29" s="6">
        <v>1130</v>
      </c>
      <c r="K29" s="6"/>
      <c r="L29" s="6"/>
      <c r="M29" s="6">
        <v>124</v>
      </c>
      <c r="N29" s="6"/>
      <c r="O29" s="6">
        <v>1566</v>
      </c>
      <c r="P29" s="37">
        <f t="shared" si="0"/>
        <v>1.3858407079646018</v>
      </c>
      <c r="Q29" s="6"/>
      <c r="R29" s="6">
        <v>217</v>
      </c>
      <c r="S29" s="6"/>
      <c r="T29" s="6"/>
    </row>
    <row r="30" spans="1:20" ht="15" thickBot="1" x14ac:dyDescent="0.35">
      <c r="A30" s="5"/>
      <c r="B30" s="6">
        <v>26</v>
      </c>
      <c r="C30" s="6"/>
      <c r="D30" s="6"/>
      <c r="E30" s="6"/>
      <c r="F30" s="6"/>
      <c r="G30" s="6">
        <v>25.5</v>
      </c>
      <c r="H30" s="6"/>
      <c r="I30" s="6"/>
      <c r="J30" s="6">
        <v>1203</v>
      </c>
      <c r="K30" s="6"/>
      <c r="L30" s="6"/>
      <c r="M30" s="6">
        <v>128</v>
      </c>
      <c r="N30" s="6"/>
      <c r="O30" s="6">
        <v>1694</v>
      </c>
      <c r="P30" s="37">
        <f t="shared" si="0"/>
        <v>1.4081463009143806</v>
      </c>
      <c r="Q30" s="6"/>
      <c r="R30" s="6">
        <v>224</v>
      </c>
      <c r="S30" s="6"/>
      <c r="T30" s="6"/>
    </row>
    <row r="31" spans="1:20" ht="15" thickBot="1" x14ac:dyDescent="0.35">
      <c r="A31" s="5"/>
      <c r="B31" s="6">
        <v>27</v>
      </c>
      <c r="C31" s="6"/>
      <c r="D31" s="6"/>
      <c r="E31" s="6"/>
      <c r="F31" s="6"/>
      <c r="G31" s="6">
        <v>25.5</v>
      </c>
      <c r="H31" s="6"/>
      <c r="I31" s="6"/>
      <c r="J31" s="6">
        <v>1276</v>
      </c>
      <c r="K31" s="6"/>
      <c r="L31" s="6"/>
      <c r="M31" s="6">
        <v>132</v>
      </c>
      <c r="N31" s="6"/>
      <c r="O31" s="6">
        <v>1826</v>
      </c>
      <c r="P31" s="37">
        <f t="shared" si="0"/>
        <v>1.4310344827586208</v>
      </c>
      <c r="Q31" s="6"/>
      <c r="R31" s="6">
        <v>231</v>
      </c>
      <c r="S31" s="6"/>
      <c r="T31" s="6"/>
    </row>
    <row r="32" spans="1:20" ht="15" thickBot="1" x14ac:dyDescent="0.35">
      <c r="A32" s="5"/>
      <c r="B32" s="6">
        <v>28</v>
      </c>
      <c r="C32" s="6"/>
      <c r="D32" s="6"/>
      <c r="E32" s="6">
        <v>3.5</v>
      </c>
      <c r="F32" s="6"/>
      <c r="G32" s="6">
        <v>24.5</v>
      </c>
      <c r="H32" s="6"/>
      <c r="I32" s="6"/>
      <c r="J32" s="6">
        <v>1350</v>
      </c>
      <c r="K32" s="6"/>
      <c r="L32" s="6">
        <v>1.4</v>
      </c>
      <c r="M32" s="6">
        <v>136</v>
      </c>
      <c r="N32" s="6"/>
      <c r="O32" s="6">
        <v>1962</v>
      </c>
      <c r="P32" s="37">
        <f t="shared" si="0"/>
        <v>1.4533333333333334</v>
      </c>
      <c r="Q32" s="6"/>
      <c r="R32" s="6">
        <v>238</v>
      </c>
      <c r="S32" s="6"/>
      <c r="T32" s="6"/>
    </row>
    <row r="33" spans="1:20" ht="15" thickBot="1" x14ac:dyDescent="0.35">
      <c r="A33" s="5"/>
      <c r="B33" s="6">
        <v>29</v>
      </c>
      <c r="C33" s="6"/>
      <c r="D33" s="6"/>
      <c r="E33" s="6"/>
      <c r="F33" s="6">
        <v>70</v>
      </c>
      <c r="G33" s="6">
        <v>24</v>
      </c>
      <c r="H33" s="6"/>
      <c r="I33" s="6"/>
      <c r="J33" s="6">
        <v>1427</v>
      </c>
      <c r="K33" s="6"/>
      <c r="L33" s="6"/>
      <c r="M33" s="6">
        <v>140</v>
      </c>
      <c r="N33" s="6"/>
      <c r="O33" s="6">
        <v>2102</v>
      </c>
      <c r="P33" s="37">
        <f t="shared" si="0"/>
        <v>1.4730203223545901</v>
      </c>
      <c r="Q33" s="6"/>
      <c r="R33" s="6">
        <v>245</v>
      </c>
      <c r="S33" s="6"/>
      <c r="T33" s="51" t="s">
        <v>28</v>
      </c>
    </row>
    <row r="34" spans="1:20" ht="15" thickBot="1" x14ac:dyDescent="0.35">
      <c r="A34" s="5"/>
      <c r="B34" s="6">
        <v>30</v>
      </c>
      <c r="C34" s="6"/>
      <c r="D34" s="6"/>
      <c r="E34" s="6"/>
      <c r="F34" s="6"/>
      <c r="G34" s="6">
        <v>23.5</v>
      </c>
      <c r="H34" s="6"/>
      <c r="I34" s="6"/>
      <c r="J34" s="6">
        <v>1504</v>
      </c>
      <c r="K34" s="6"/>
      <c r="L34" s="6"/>
      <c r="M34" s="6">
        <v>144</v>
      </c>
      <c r="N34" s="6"/>
      <c r="O34" s="6">
        <v>2246</v>
      </c>
      <c r="P34" s="37">
        <f t="shared" si="0"/>
        <v>1.4933510638297873</v>
      </c>
      <c r="Q34" s="6"/>
      <c r="R34" s="6">
        <v>252</v>
      </c>
      <c r="S34" s="6"/>
      <c r="T34" s="52"/>
    </row>
    <row r="35" spans="1:20" ht="15" thickBot="1" x14ac:dyDescent="0.35">
      <c r="A35" s="5"/>
      <c r="B35" s="6">
        <v>31</v>
      </c>
      <c r="C35" s="6"/>
      <c r="D35" s="6"/>
      <c r="E35" s="6"/>
      <c r="F35" s="6"/>
      <c r="G35" s="6">
        <v>23</v>
      </c>
      <c r="H35" s="6"/>
      <c r="I35" s="6"/>
      <c r="J35" s="6">
        <v>1582</v>
      </c>
      <c r="K35" s="6"/>
      <c r="L35" s="6"/>
      <c r="M35" s="6">
        <v>147</v>
      </c>
      <c r="N35" s="6"/>
      <c r="O35" s="6">
        <v>2393</v>
      </c>
      <c r="P35" s="37">
        <f t="shared" si="0"/>
        <v>1.5126422250316056</v>
      </c>
      <c r="Q35" s="6"/>
      <c r="R35" s="6">
        <v>257</v>
      </c>
      <c r="S35" s="6"/>
      <c r="T35" s="6"/>
    </row>
    <row r="36" spans="1:20" ht="15" thickBot="1" x14ac:dyDescent="0.35">
      <c r="A36" s="5"/>
      <c r="B36" s="6">
        <v>32</v>
      </c>
      <c r="C36" s="6"/>
      <c r="D36" s="6"/>
      <c r="E36" s="6"/>
      <c r="F36" s="6"/>
      <c r="G36" s="6">
        <v>22.5</v>
      </c>
      <c r="H36" s="6"/>
      <c r="I36" s="6"/>
      <c r="J36" s="6">
        <v>1660</v>
      </c>
      <c r="K36" s="6"/>
      <c r="L36" s="6"/>
      <c r="M36" s="6">
        <v>151</v>
      </c>
      <c r="N36" s="6"/>
      <c r="O36" s="6">
        <v>2544</v>
      </c>
      <c r="P36" s="37">
        <f t="shared" si="0"/>
        <v>1.5325301204819277</v>
      </c>
      <c r="Q36" s="6"/>
      <c r="R36" s="6">
        <v>264</v>
      </c>
      <c r="S36" s="6"/>
      <c r="T36" s="6"/>
    </row>
    <row r="37" spans="1:20" ht="15" thickBot="1" x14ac:dyDescent="0.35">
      <c r="A37" s="5"/>
      <c r="B37" s="6">
        <v>33</v>
      </c>
      <c r="C37" s="6"/>
      <c r="D37" s="6"/>
      <c r="E37" s="6"/>
      <c r="F37" s="6"/>
      <c r="G37" s="6">
        <v>22</v>
      </c>
      <c r="H37" s="6"/>
      <c r="I37" s="6"/>
      <c r="J37" s="6">
        <v>1739</v>
      </c>
      <c r="K37" s="6"/>
      <c r="L37" s="6"/>
      <c r="M37" s="6">
        <v>154</v>
      </c>
      <c r="N37" s="6"/>
      <c r="O37" s="6">
        <v>2698</v>
      </c>
      <c r="P37" s="37">
        <f t="shared" si="0"/>
        <v>1.5514663599769982</v>
      </c>
      <c r="Q37" s="6"/>
      <c r="R37" s="6">
        <v>270</v>
      </c>
      <c r="S37" s="6"/>
      <c r="T37" s="6"/>
    </row>
    <row r="38" spans="1:20" ht="15" thickBot="1" x14ac:dyDescent="0.35">
      <c r="A38" s="5"/>
      <c r="B38" s="6">
        <v>34</v>
      </c>
      <c r="C38" s="6"/>
      <c r="D38" s="6"/>
      <c r="E38" s="6"/>
      <c r="F38" s="6"/>
      <c r="G38" s="6">
        <v>21.5</v>
      </c>
      <c r="H38" s="6"/>
      <c r="I38" s="6"/>
      <c r="J38" s="6">
        <v>1819</v>
      </c>
      <c r="K38" s="6"/>
      <c r="L38" s="6"/>
      <c r="M38" s="6">
        <v>158</v>
      </c>
      <c r="N38" s="6"/>
      <c r="O38" s="6">
        <v>2856</v>
      </c>
      <c r="P38" s="37">
        <f t="shared" si="0"/>
        <v>1.5700934579439252</v>
      </c>
      <c r="Q38" s="6"/>
      <c r="R38" s="6">
        <v>277</v>
      </c>
      <c r="S38" s="6"/>
      <c r="T38" s="6"/>
    </row>
    <row r="39" spans="1:20" ht="15" thickBot="1" x14ac:dyDescent="0.35">
      <c r="A39" s="5"/>
      <c r="B39" s="6">
        <v>35</v>
      </c>
      <c r="C39" s="6"/>
      <c r="D39" s="6"/>
      <c r="E39" s="6">
        <v>4</v>
      </c>
      <c r="F39" s="6"/>
      <c r="G39" s="6">
        <v>21.5</v>
      </c>
      <c r="H39" s="6"/>
      <c r="I39" s="6"/>
      <c r="J39" s="6">
        <v>1900</v>
      </c>
      <c r="K39" s="6"/>
      <c r="L39" s="6">
        <v>1.5</v>
      </c>
      <c r="M39" s="6">
        <v>162</v>
      </c>
      <c r="N39" s="6"/>
      <c r="O39" s="6">
        <v>3018</v>
      </c>
      <c r="P39" s="37">
        <f t="shared" si="0"/>
        <v>1.588421052631579</v>
      </c>
      <c r="Q39" s="6"/>
      <c r="R39" s="6">
        <v>284</v>
      </c>
      <c r="S39" s="6"/>
      <c r="T39" s="6"/>
    </row>
  </sheetData>
  <mergeCells count="25">
    <mergeCell ref="Q2:Q3"/>
    <mergeCell ref="R2:R3"/>
    <mergeCell ref="T2:T3"/>
    <mergeCell ref="T33:T34"/>
    <mergeCell ref="Q1:S1"/>
    <mergeCell ref="L1:P1"/>
    <mergeCell ref="L2:L3"/>
    <mergeCell ref="M2:M3"/>
    <mergeCell ref="N2:N3"/>
    <mergeCell ref="O2:O3"/>
    <mergeCell ref="P2:P3"/>
    <mergeCell ref="A1:A3"/>
    <mergeCell ref="B1:B3"/>
    <mergeCell ref="C1:E1"/>
    <mergeCell ref="G1:I1"/>
    <mergeCell ref="J1:K1"/>
    <mergeCell ref="H2:H3"/>
    <mergeCell ref="I2:I3"/>
    <mergeCell ref="J2:J3"/>
    <mergeCell ref="K2:K3"/>
    <mergeCell ref="C2:C3"/>
    <mergeCell ref="D2:D3"/>
    <mergeCell ref="E2:E3"/>
    <mergeCell ref="F2:F3"/>
    <mergeCell ref="G2:G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</vt:lpstr>
      <vt:lpstr>MORTALITY</vt:lpstr>
      <vt:lpstr>ADG</vt:lpstr>
      <vt:lpstr>DAILY WEIGHT</vt:lpstr>
      <vt:lpstr>FEED CONSUMPTION</vt:lpstr>
      <vt:lpstr>FCR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Neutron</dc:creator>
  <cp:lastModifiedBy>gel carandang</cp:lastModifiedBy>
  <dcterms:created xsi:type="dcterms:W3CDTF">2021-11-18T06:45:07Z</dcterms:created>
  <dcterms:modified xsi:type="dcterms:W3CDTF">2025-09-02T07:19:35Z</dcterms:modified>
</cp:coreProperties>
</file>